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mrahman.38tax (main Drive)\Projects_Taxation Dept\EPT-2023\Draft Works EPT-2023\EPT-V.2.0 (2025)\"/>
    </mc:Choice>
  </mc:AlternateContent>
  <xr:revisionPtr revIDLastSave="0" documentId="13_ncr:1_{BB19ACD6-8173-4988-BCEB-91E67B4F40CC}" xr6:coauthVersionLast="47" xr6:coauthVersionMax="47" xr10:uidLastSave="{00000000-0000-0000-0000-000000000000}"/>
  <workbookProtection workbookAlgorithmName="SHA-512" workbookHashValue="Vo5YxSPR+WwgW7ovt0zg1t+dObBK0B3oWexs3l5J2JGskSCM/m1wueGth20XkzVa9wKzPPO4fpLt5i2GpOy8RA==" workbookSaltValue="ejsOiHYgNvurXH+IlVvX7w==" workbookSpinCount="100000" lockStructure="1"/>
  <bookViews>
    <workbookView xWindow="-120" yWindow="-120" windowWidth="29040" windowHeight="15840" tabRatio="893" xr2:uid="{00000000-000D-0000-FFFF-FFFF00000000}"/>
  </bookViews>
  <sheets>
    <sheet name="Data Input" sheetId="33" r:id="rId1"/>
    <sheet name="Sheet of Calculation" sheetId="2" r:id="rId2"/>
    <sheet name="Return Process" sheetId="34" r:id="rId3"/>
    <sheet name="I.T.-30" sheetId="38" r:id="rId4"/>
    <sheet name="I.T.-15" sheetId="37" r:id="rId5"/>
    <sheet name="183(3),179 Notices" sheetId="46" state="hidden" r:id="rId6"/>
    <sheet name="172,280 Notices" sheetId="48" state="hidden" r:id="rId7"/>
    <sheet name="Min Tax" sheetId="50" r:id="rId8"/>
    <sheet name="212 Notice" sheetId="49" r:id="rId9"/>
    <sheet name="MisC Cal-1" sheetId="31" state="hidden" r:id="rId10"/>
    <sheet name="MisC Cal-2" sheetId="40" state="hidden" r:id="rId11"/>
    <sheet name="MisC Intrst-3" sheetId="32" state="hidden" r:id="rId12"/>
    <sheet name="Balance sheet" sheetId="12" state="hidden" r:id="rId13"/>
  </sheets>
  <definedNames>
    <definedName name="_Hlk142582612" localSheetId="6">'172,280 Notices'!$A$22</definedName>
    <definedName name="_Hlk142582612" localSheetId="5">'183(3),179 Notices'!#REF!</definedName>
    <definedName name="_Hlk142582612" localSheetId="8">'212 Notice'!#REF!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3" l="1"/>
  <c r="F20" i="2"/>
  <c r="F19" i="2"/>
  <c r="F18" i="2"/>
  <c r="F5" i="33"/>
  <c r="E35" i="33"/>
  <c r="W18" i="32"/>
  <c r="AI17" i="32"/>
  <c r="AG17" i="32"/>
  <c r="E18" i="2" l="1"/>
  <c r="H84" i="31"/>
  <c r="H85" i="31"/>
  <c r="H86" i="31"/>
  <c r="H87" i="31"/>
  <c r="H88" i="31"/>
  <c r="H83" i="31"/>
  <c r="G84" i="31"/>
  <c r="G85" i="31"/>
  <c r="G86" i="31"/>
  <c r="G87" i="31"/>
  <c r="G88" i="31"/>
  <c r="G89" i="31"/>
  <c r="G83" i="31"/>
  <c r="F23" i="2"/>
  <c r="D6" i="2"/>
  <c r="J65" i="40"/>
  <c r="K65" i="40"/>
  <c r="L65" i="40"/>
  <c r="M65" i="40"/>
  <c r="N65" i="40"/>
  <c r="O65" i="40"/>
  <c r="I65" i="40"/>
  <c r="G79" i="40" l="1"/>
  <c r="H8" i="34"/>
  <c r="AM21" i="32"/>
  <c r="AM20" i="32"/>
  <c r="AM17" i="32"/>
  <c r="AM16" i="32"/>
  <c r="AM13" i="32"/>
  <c r="AM12" i="32"/>
  <c r="AM11" i="32"/>
  <c r="AM14" i="32"/>
  <c r="AM15" i="32"/>
  <c r="AM18" i="32"/>
  <c r="AM19" i="32"/>
  <c r="AM22" i="32"/>
  <c r="AM23" i="32"/>
  <c r="AM10" i="32"/>
  <c r="E10" i="31"/>
  <c r="C16" i="38"/>
  <c r="E16" i="38" s="1"/>
  <c r="G24" i="50"/>
  <c r="G15" i="50"/>
  <c r="D31" i="33"/>
  <c r="B3" i="2"/>
  <c r="B52" i="2"/>
  <c r="B15" i="49"/>
  <c r="B14" i="49"/>
  <c r="B12" i="49"/>
  <c r="K15" i="48"/>
  <c r="B15" i="48"/>
  <c r="A17" i="48" s="1"/>
  <c r="K14" i="48"/>
  <c r="B14" i="48"/>
  <c r="K12" i="48"/>
  <c r="B12" i="48"/>
  <c r="E3" i="38"/>
  <c r="E6" i="38"/>
  <c r="F21" i="33"/>
  <c r="H89" i="31" s="1"/>
  <c r="G80" i="40"/>
  <c r="R39" i="32"/>
  <c r="B9" i="37"/>
  <c r="B6" i="38"/>
  <c r="F3" i="2"/>
  <c r="O22" i="34"/>
  <c r="J32" i="34"/>
  <c r="K15" i="34"/>
  <c r="K14" i="34"/>
  <c r="K12" i="34"/>
  <c r="K15" i="46"/>
  <c r="K14" i="46"/>
  <c r="B8" i="37"/>
  <c r="B4" i="38"/>
  <c r="K12" i="46"/>
  <c r="B15" i="46"/>
  <c r="B14" i="46"/>
  <c r="B12" i="46"/>
  <c r="E53" i="34"/>
  <c r="D142" i="31"/>
  <c r="D143" i="31"/>
  <c r="D144" i="31"/>
  <c r="D145" i="31"/>
  <c r="D146" i="31"/>
  <c r="G145" i="31"/>
  <c r="G146" i="31"/>
  <c r="I20" i="38"/>
  <c r="B50" i="2"/>
  <c r="B49" i="2"/>
  <c r="B48" i="2"/>
  <c r="B43" i="34"/>
  <c r="I35" i="33"/>
  <c r="E21" i="2"/>
  <c r="E25" i="2"/>
  <c r="G109" i="40"/>
  <c r="F108" i="40"/>
  <c r="N30" i="32"/>
  <c r="H25" i="33"/>
  <c r="P64" i="31"/>
  <c r="P63" i="31"/>
  <c r="O64" i="31"/>
  <c r="N64" i="31"/>
  <c r="M64" i="31"/>
  <c r="O63" i="31"/>
  <c r="N63" i="31"/>
  <c r="M63" i="31"/>
  <c r="L64" i="31"/>
  <c r="L63" i="31"/>
  <c r="K64" i="31"/>
  <c r="K63" i="31"/>
  <c r="AL9" i="31"/>
  <c r="H92" i="31"/>
  <c r="D86" i="31" s="1"/>
  <c r="E57" i="2"/>
  <c r="I8" i="48" l="1"/>
  <c r="A21" i="48" s="1"/>
  <c r="I8" i="49"/>
  <c r="R8" i="48"/>
  <c r="G41" i="48"/>
  <c r="G42" i="49"/>
  <c r="G43" i="48"/>
  <c r="G44" i="49"/>
  <c r="L35" i="32"/>
  <c r="G76" i="40"/>
  <c r="R38" i="32"/>
  <c r="R40" i="32" s="1"/>
  <c r="O40" i="32"/>
  <c r="G81" i="40"/>
  <c r="F21" i="38"/>
  <c r="F5" i="37"/>
  <c r="O8" i="34"/>
  <c r="G43" i="46"/>
  <c r="N51" i="34"/>
  <c r="N53" i="34"/>
  <c r="P43" i="46"/>
  <c r="P41" i="46"/>
  <c r="G41" i="46"/>
  <c r="I8" i="46"/>
  <c r="F2" i="2"/>
  <c r="R8" i="46"/>
  <c r="G65" i="40"/>
  <c r="F65" i="40"/>
  <c r="D82" i="31"/>
  <c r="E22" i="2"/>
  <c r="D22" i="2"/>
  <c r="B20" i="2"/>
  <c r="D32" i="33"/>
  <c r="B23" i="2" s="1"/>
  <c r="B22" i="2"/>
  <c r="A16" i="38" s="1"/>
  <c r="I10" i="31"/>
  <c r="H16" i="31"/>
  <c r="E5" i="31"/>
  <c r="I6" i="31"/>
  <c r="AJ2" i="31"/>
  <c r="AL3" i="31" s="1"/>
  <c r="G63" i="40"/>
  <c r="T64" i="40" s="1"/>
  <c r="B57" i="2"/>
  <c r="I60" i="40" a="1"/>
  <c r="I60" i="40" s="1"/>
  <c r="A19" i="34"/>
  <c r="I89" i="31" l="1"/>
  <c r="I88" i="31"/>
  <c r="I83" i="31"/>
  <c r="I87" i="31"/>
  <c r="I86" i="31"/>
  <c r="I85" i="31"/>
  <c r="I84" i="31"/>
  <c r="K82" i="40"/>
  <c r="M82" i="40"/>
  <c r="N82" i="40"/>
  <c r="L82" i="40"/>
  <c r="J82" i="40"/>
  <c r="O82" i="40"/>
  <c r="I82" i="40"/>
  <c r="AM8" i="31"/>
  <c r="AM9" i="31"/>
  <c r="AM7" i="31"/>
  <c r="AM6" i="31"/>
  <c r="M64" i="40"/>
  <c r="L64" i="40"/>
  <c r="Q64" i="40"/>
  <c r="K64" i="40"/>
  <c r="J64" i="40"/>
  <c r="S64" i="40"/>
  <c r="R64" i="40"/>
  <c r="P64" i="40"/>
  <c r="I64" i="40"/>
  <c r="V64" i="40"/>
  <c r="O64" i="40"/>
  <c r="U64" i="40"/>
  <c r="N64" i="40"/>
  <c r="K35" i="33"/>
  <c r="C14" i="40"/>
  <c r="Q33" i="40" s="1"/>
  <c r="G4" i="40"/>
  <c r="I4" i="40" a="1"/>
  <c r="I4" i="40" s="1"/>
  <c r="D6" i="40"/>
  <c r="D5" i="40"/>
  <c r="E82" i="31"/>
  <c r="J89" i="31"/>
  <c r="E30" i="2"/>
  <c r="B67" i="31"/>
  <c r="Z9" i="32"/>
  <c r="B54" i="31"/>
  <c r="C54" i="31" s="1" a="1"/>
  <c r="C54" i="31" s="1"/>
  <c r="Z10" i="32" s="1" a="1"/>
  <c r="Z10" i="32" s="1"/>
  <c r="S10" i="32"/>
  <c r="T10" i="32" s="1"/>
  <c r="U10" i="32" s="1"/>
  <c r="V10" i="32" s="1"/>
  <c r="J64" i="31"/>
  <c r="J63" i="31"/>
  <c r="AA2" i="31"/>
  <c r="Z2" i="31"/>
  <c r="AB2" i="31" s="1" a="1"/>
  <c r="AB2" i="31" s="1"/>
  <c r="J29" i="38"/>
  <c r="B11" i="34"/>
  <c r="J27" i="38"/>
  <c r="J26" i="38"/>
  <c r="C8" i="32"/>
  <c r="J83" i="31" l="1"/>
  <c r="D12" i="2"/>
  <c r="J88" i="31"/>
  <c r="E12" i="2" s="1"/>
  <c r="D11" i="2"/>
  <c r="J87" i="31"/>
  <c r="E11" i="2" s="1"/>
  <c r="D10" i="2"/>
  <c r="J86" i="31"/>
  <c r="E10" i="2" s="1"/>
  <c r="D9" i="2"/>
  <c r="J85" i="31"/>
  <c r="E9" i="2" s="1"/>
  <c r="D8" i="2"/>
  <c r="J84" i="31"/>
  <c r="E8" i="2" s="1"/>
  <c r="G90" i="31"/>
  <c r="F63" i="40" a="1"/>
  <c r="F63" i="40" s="1"/>
  <c r="D39" i="33" s="1"/>
  <c r="E13" i="2"/>
  <c r="K89" i="31"/>
  <c r="F13" i="2" s="1"/>
  <c r="F50" i="2"/>
  <c r="J18" i="38"/>
  <c r="I7" i="31"/>
  <c r="I12" i="31" s="1"/>
  <c r="G23" i="50" s="1"/>
  <c r="D13" i="2"/>
  <c r="C64" i="40" a="1"/>
  <c r="C64" i="40" s="1"/>
  <c r="B60" i="2" s="1"/>
  <c r="C63" i="40" a="1"/>
  <c r="C63" i="40" s="1"/>
  <c r="C62" i="40" a="1"/>
  <c r="C62" i="40" s="1"/>
  <c r="D64" i="40" a="1"/>
  <c r="D64" i="40" s="1"/>
  <c r="D63" i="40" a="1"/>
  <c r="D63" i="40" s="1"/>
  <c r="G61" i="40" a="1"/>
  <c r="G61" i="40" s="1"/>
  <c r="C13" i="40"/>
  <c r="E10" i="33" s="1"/>
  <c r="P33" i="40"/>
  <c r="I33" i="40"/>
  <c r="J33" i="40"/>
  <c r="O33" i="40"/>
  <c r="U33" i="40"/>
  <c r="N33" i="40"/>
  <c r="T33" i="40"/>
  <c r="V33" i="40"/>
  <c r="M33" i="40"/>
  <c r="S33" i="40"/>
  <c r="L33" i="40"/>
  <c r="R33" i="40"/>
  <c r="K33" i="40"/>
  <c r="G5" i="40" a="1"/>
  <c r="G5" i="40" s="1"/>
  <c r="E13" i="40" a="1"/>
  <c r="E13" i="40" s="1"/>
  <c r="C5" i="40" s="1"/>
  <c r="C11" i="33" s="1"/>
  <c r="F13" i="40" a="1"/>
  <c r="F13" i="40" s="1"/>
  <c r="E5" i="40" a="1"/>
  <c r="E5" i="40" s="1"/>
  <c r="H90" i="31"/>
  <c r="S11" i="32"/>
  <c r="T11" i="32" s="1"/>
  <c r="U11" i="32" s="1"/>
  <c r="W11" i="32" s="1"/>
  <c r="W10" i="32"/>
  <c r="AF2" i="31"/>
  <c r="K8" i="33" s="1"/>
  <c r="J7" i="38"/>
  <c r="J6" i="38"/>
  <c r="J5" i="38"/>
  <c r="I12" i="38" s="1"/>
  <c r="K86" i="31" l="1"/>
  <c r="F10" i="2" s="1"/>
  <c r="K88" i="31"/>
  <c r="F12" i="2" s="1"/>
  <c r="K87" i="31"/>
  <c r="F11" i="2" s="1"/>
  <c r="K85" i="31"/>
  <c r="F9" i="2" s="1"/>
  <c r="K84" i="31"/>
  <c r="F8" i="2" s="1"/>
  <c r="J90" i="31"/>
  <c r="K72" i="40" s="1"/>
  <c r="E7" i="2"/>
  <c r="K83" i="31"/>
  <c r="I90" i="31"/>
  <c r="M79" i="40" s="1"/>
  <c r="D7" i="2"/>
  <c r="B44" i="34"/>
  <c r="AK3" i="31"/>
  <c r="AK4" i="31" s="1"/>
  <c r="J26" i="33" s="1"/>
  <c r="K26" i="33" s="1"/>
  <c r="AG11" i="32"/>
  <c r="AI11" i="32" s="1"/>
  <c r="AG10" i="32"/>
  <c r="AI10" i="32" s="1"/>
  <c r="D11" i="40"/>
  <c r="B58" i="2"/>
  <c r="B59" i="2"/>
  <c r="C11" i="40"/>
  <c r="V11" i="32"/>
  <c r="S12" i="32"/>
  <c r="T12" i="32" s="1"/>
  <c r="E35" i="38"/>
  <c r="D24" i="38"/>
  <c r="N72" i="40" l="1"/>
  <c r="N76" i="40" s="1"/>
  <c r="K90" i="31"/>
  <c r="O73" i="40" s="1"/>
  <c r="O72" i="40"/>
  <c r="O76" i="40" s="1"/>
  <c r="L72" i="40"/>
  <c r="L80" i="40" s="1"/>
  <c r="J72" i="40"/>
  <c r="J76" i="40" s="1"/>
  <c r="I72" i="40"/>
  <c r="I80" i="40" s="1"/>
  <c r="M72" i="40"/>
  <c r="M80" i="40" s="1"/>
  <c r="M81" i="40" s="1"/>
  <c r="F7" i="2"/>
  <c r="M71" i="40"/>
  <c r="M75" i="40" s="1"/>
  <c r="U79" i="40"/>
  <c r="R71" i="40"/>
  <c r="P79" i="40"/>
  <c r="K71" i="40"/>
  <c r="K75" i="40" s="1"/>
  <c r="V71" i="40"/>
  <c r="J79" i="40"/>
  <c r="U71" i="40"/>
  <c r="L71" i="40"/>
  <c r="L75" i="40" s="1"/>
  <c r="T71" i="40"/>
  <c r="N79" i="40"/>
  <c r="I79" i="40"/>
  <c r="J71" i="40"/>
  <c r="J75" i="40" s="1"/>
  <c r="S71" i="40"/>
  <c r="T79" i="40"/>
  <c r="V79" i="40"/>
  <c r="I71" i="40"/>
  <c r="I75" i="40" s="1"/>
  <c r="P71" i="40"/>
  <c r="P72" i="40" s="1"/>
  <c r="L79" i="40"/>
  <c r="O79" i="40"/>
  <c r="O71" i="40"/>
  <c r="O75" i="40" s="1"/>
  <c r="R79" i="40"/>
  <c r="S79" i="40"/>
  <c r="N71" i="40"/>
  <c r="N75" i="40" s="1"/>
  <c r="K79" i="40"/>
  <c r="Q71" i="40"/>
  <c r="Q75" i="40" s="1"/>
  <c r="Q79" i="40"/>
  <c r="K76" i="40"/>
  <c r="K80" i="40"/>
  <c r="F49" i="2"/>
  <c r="J17" i="38"/>
  <c r="F11" i="40"/>
  <c r="C15" i="40" s="1"/>
  <c r="H7" i="31"/>
  <c r="H12" i="31" s="1"/>
  <c r="K34" i="33"/>
  <c r="U12" i="32"/>
  <c r="C19" i="38"/>
  <c r="C18" i="38"/>
  <c r="C12" i="38"/>
  <c r="E12" i="38" s="1"/>
  <c r="C13" i="38"/>
  <c r="E13" i="38" s="1"/>
  <c r="C14" i="38"/>
  <c r="E14" i="38" s="1"/>
  <c r="C15" i="38"/>
  <c r="E15" i="38" s="1"/>
  <c r="C17" i="38"/>
  <c r="E17" i="38" s="1"/>
  <c r="B8" i="38"/>
  <c r="B7" i="38"/>
  <c r="U75" i="40" l="1"/>
  <c r="U72" i="40"/>
  <c r="S75" i="40"/>
  <c r="S72" i="40"/>
  <c r="S73" i="40" s="1"/>
  <c r="T75" i="40"/>
  <c r="T72" i="40"/>
  <c r="V75" i="40"/>
  <c r="V72" i="40"/>
  <c r="V73" i="40" s="1"/>
  <c r="R75" i="40"/>
  <c r="R72" i="40"/>
  <c r="L76" i="40"/>
  <c r="L77" i="40" s="1"/>
  <c r="M76" i="40"/>
  <c r="M77" i="40" s="1"/>
  <c r="O80" i="40"/>
  <c r="O81" i="40" s="1"/>
  <c r="I73" i="40"/>
  <c r="L73" i="40"/>
  <c r="N80" i="40"/>
  <c r="N81" i="40" s="1"/>
  <c r="J73" i="40"/>
  <c r="J80" i="40"/>
  <c r="J81" i="40" s="1"/>
  <c r="I76" i="40"/>
  <c r="I77" i="40" s="1"/>
  <c r="N73" i="40"/>
  <c r="M73" i="40"/>
  <c r="P75" i="40"/>
  <c r="K73" i="40"/>
  <c r="I94" i="31" a="1"/>
  <c r="I94" i="31" s="1"/>
  <c r="E22" i="33" s="1"/>
  <c r="K77" i="40"/>
  <c r="T73" i="40"/>
  <c r="O77" i="40"/>
  <c r="U73" i="40"/>
  <c r="J77" i="40"/>
  <c r="K81" i="40"/>
  <c r="I92" i="31" a="1"/>
  <c r="I92" i="31" s="1"/>
  <c r="R73" i="40"/>
  <c r="I81" i="40"/>
  <c r="L81" i="40"/>
  <c r="N77" i="40"/>
  <c r="Q72" i="40"/>
  <c r="Q73" i="40" s="1"/>
  <c r="P73" i="40"/>
  <c r="S13" i="32"/>
  <c r="W12" i="32"/>
  <c r="V12" i="32"/>
  <c r="D18" i="38"/>
  <c r="D19" i="38"/>
  <c r="E4" i="38"/>
  <c r="B10" i="34"/>
  <c r="X2" i="32"/>
  <c r="F19" i="31"/>
  <c r="E32" i="38" s="1"/>
  <c r="O18" i="31"/>
  <c r="O17" i="31"/>
  <c r="O16" i="31"/>
  <c r="A20" i="37"/>
  <c r="F14" i="37"/>
  <c r="B10" i="37"/>
  <c r="E35" i="37"/>
  <c r="E33" i="37"/>
  <c r="C13" i="37"/>
  <c r="E42" i="2"/>
  <c r="C60" i="2"/>
  <c r="C59" i="2"/>
  <c r="J92" i="31" l="1" a="1"/>
  <c r="J92" i="31" s="1"/>
  <c r="K92" i="31" a="1"/>
  <c r="K92" i="31" s="1"/>
  <c r="D14" i="2"/>
  <c r="AG12" i="32"/>
  <c r="AI12" i="32" s="1"/>
  <c r="T13" i="32"/>
  <c r="U13" i="32" s="1"/>
  <c r="V13" i="32" s="1"/>
  <c r="D20" i="38"/>
  <c r="C54" i="2"/>
  <c r="S14" i="32" l="1"/>
  <c r="T14" i="32" s="1"/>
  <c r="W13" i="32"/>
  <c r="J31" i="33"/>
  <c r="AG13" i="32" l="1"/>
  <c r="AI13" i="32" s="1"/>
  <c r="U14" i="32"/>
  <c r="K11" i="48" l="1"/>
  <c r="B11" i="48"/>
  <c r="B11" i="49"/>
  <c r="K11" i="34"/>
  <c r="K11" i="46"/>
  <c r="B11" i="46"/>
  <c r="V14" i="32"/>
  <c r="W14" i="32"/>
  <c r="H48" i="34"/>
  <c r="D3" i="2"/>
  <c r="H45" i="34"/>
  <c r="H44" i="34"/>
  <c r="B14" i="34"/>
  <c r="B17" i="2"/>
  <c r="A11" i="38" s="1"/>
  <c r="D43" i="33"/>
  <c r="A17" i="38"/>
  <c r="A14" i="38"/>
  <c r="L21" i="32"/>
  <c r="L19" i="31"/>
  <c r="K7" i="31"/>
  <c r="L7" i="31"/>
  <c r="E32" i="31"/>
  <c r="AG14" i="32" l="1"/>
  <c r="AI14" i="32" s="1"/>
  <c r="H47" i="34"/>
  <c r="B12" i="34"/>
  <c r="B9" i="34"/>
  <c r="E3" i="34"/>
  <c r="E4" i="34"/>
  <c r="E6" i="34"/>
  <c r="J28" i="38"/>
  <c r="I36" i="33"/>
  <c r="B27" i="2"/>
  <c r="A19" i="38" s="1"/>
  <c r="B26" i="2"/>
  <c r="B25" i="2"/>
  <c r="A18" i="38" s="1"/>
  <c r="B24" i="2"/>
  <c r="B16" i="2"/>
  <c r="B21" i="2"/>
  <c r="F21" i="2" s="1"/>
  <c r="B19" i="2"/>
  <c r="B18" i="2"/>
  <c r="B14" i="2"/>
  <c r="B8" i="2"/>
  <c r="E84" i="31" s="1"/>
  <c r="B9" i="2"/>
  <c r="E85" i="31" s="1"/>
  <c r="B10" i="2"/>
  <c r="E86" i="31" s="1"/>
  <c r="B11" i="2"/>
  <c r="E87" i="31" s="1"/>
  <c r="B12" i="2"/>
  <c r="E88" i="31" s="1"/>
  <c r="B13" i="2"/>
  <c r="E89" i="31" s="1"/>
  <c r="B7" i="2"/>
  <c r="E83" i="31" s="1"/>
  <c r="B4" i="2"/>
  <c r="F51" i="2"/>
  <c r="C50" i="2"/>
  <c r="C49" i="2"/>
  <c r="C48" i="2"/>
  <c r="B3" i="38" l="1"/>
  <c r="B7" i="37"/>
  <c r="D51" i="2"/>
  <c r="A13" i="38"/>
  <c r="A15" i="38"/>
  <c r="A12" i="38"/>
  <c r="H46" i="34"/>
  <c r="E5" i="34"/>
  <c r="E27" i="2"/>
  <c r="D27" i="2"/>
  <c r="D25" i="2"/>
  <c r="E23" i="2"/>
  <c r="D19" i="2"/>
  <c r="E19" i="2" s="1"/>
  <c r="D20" i="2"/>
  <c r="E20" i="2" s="1"/>
  <c r="D21" i="2"/>
  <c r="D23" i="2"/>
  <c r="D18" i="2"/>
  <c r="C67" i="31"/>
  <c r="F4" i="2"/>
  <c r="L5" i="32"/>
  <c r="L3" i="32"/>
  <c r="L4" i="32"/>
  <c r="S15" i="32"/>
  <c r="T15" i="32" s="1"/>
  <c r="D72" i="31" l="1"/>
  <c r="D71" i="31"/>
  <c r="S7" i="32"/>
  <c r="X23" i="32" s="1"/>
  <c r="N7" i="32"/>
  <c r="O34" i="32"/>
  <c r="G110" i="40"/>
  <c r="G108" i="40"/>
  <c r="O33" i="32"/>
  <c r="O32" i="32"/>
  <c r="L26" i="32"/>
  <c r="J39" i="48" s="1"/>
  <c r="D12" i="32"/>
  <c r="E68" i="31"/>
  <c r="E11" i="31" s="1"/>
  <c r="D70" i="31"/>
  <c r="D69" i="31"/>
  <c r="D67" i="31"/>
  <c r="D68" i="31"/>
  <c r="U15" i="32"/>
  <c r="S16" i="32" s="1"/>
  <c r="T16" i="32" s="1"/>
  <c r="F39" i="2"/>
  <c r="F54" i="2"/>
  <c r="L27" i="32"/>
  <c r="B2" i="2"/>
  <c r="D73" i="31" l="1"/>
  <c r="D15" i="31"/>
  <c r="D35" i="2"/>
  <c r="X22" i="32"/>
  <c r="X19" i="32"/>
  <c r="X21" i="32"/>
  <c r="X18" i="32"/>
  <c r="X20" i="32"/>
  <c r="X17" i="32"/>
  <c r="D31" i="2"/>
  <c r="C25" i="38" s="1"/>
  <c r="D11" i="31"/>
  <c r="D32" i="2"/>
  <c r="C26" i="38" s="1"/>
  <c r="D12" i="31"/>
  <c r="D34" i="2"/>
  <c r="C28" i="38" s="1"/>
  <c r="D14" i="31"/>
  <c r="D33" i="2"/>
  <c r="C27" i="38" s="1"/>
  <c r="D13" i="31"/>
  <c r="D30" i="2"/>
  <c r="C24" i="38" s="1"/>
  <c r="D10" i="31"/>
  <c r="J27" i="34"/>
  <c r="A19" i="46"/>
  <c r="J20" i="46"/>
  <c r="A18" i="37"/>
  <c r="O31" i="32"/>
  <c r="I25" i="33" s="1"/>
  <c r="E69" i="31"/>
  <c r="E12" i="31" s="1"/>
  <c r="E31" i="2"/>
  <c r="D25" i="38" s="1"/>
  <c r="W15" i="32"/>
  <c r="V15" i="32"/>
  <c r="U16" i="32"/>
  <c r="D36" i="2" l="1"/>
  <c r="D16" i="31"/>
  <c r="AG15" i="32"/>
  <c r="AI15" i="32" s="1"/>
  <c r="E70" i="31"/>
  <c r="E13" i="31" s="1"/>
  <c r="E32" i="2"/>
  <c r="D26" i="38" s="1"/>
  <c r="E28" i="31"/>
  <c r="W16" i="32"/>
  <c r="V16" i="32"/>
  <c r="S17" i="32"/>
  <c r="AG16" i="32" l="1"/>
  <c r="AI16" i="32" s="1"/>
  <c r="T17" i="32"/>
  <c r="N4" i="32" s="1"/>
  <c r="A25" i="49" s="1"/>
  <c r="N5" i="32"/>
  <c r="E71" i="31"/>
  <c r="E14" i="31" s="1"/>
  <c r="E33" i="2"/>
  <c r="D27" i="38" s="1"/>
  <c r="U17" i="32"/>
  <c r="N6" i="32" s="1"/>
  <c r="D10" i="32" s="1"/>
  <c r="G7" i="32"/>
  <c r="B54" i="2" l="1"/>
  <c r="O6" i="32"/>
  <c r="G12" i="32" s="1"/>
  <c r="S18" i="32"/>
  <c r="T18" i="32" s="1"/>
  <c r="U18" i="32" s="1"/>
  <c r="S19" i="32" s="1"/>
  <c r="T19" i="32" s="1"/>
  <c r="V17" i="32"/>
  <c r="N8" i="32" s="1"/>
  <c r="E72" i="31"/>
  <c r="E34" i="2"/>
  <c r="D28" i="38" s="1"/>
  <c r="W17" i="32"/>
  <c r="E73" i="31" l="1"/>
  <c r="D11" i="32"/>
  <c r="E35" i="2"/>
  <c r="E15" i="31"/>
  <c r="O35" i="32"/>
  <c r="O37" i="32" s="1"/>
  <c r="V18" i="32"/>
  <c r="U19" i="32"/>
  <c r="S20" i="32" s="1"/>
  <c r="T20" i="32" s="1"/>
  <c r="U20" i="32" s="1"/>
  <c r="E36" i="2" l="1"/>
  <c r="E16" i="31"/>
  <c r="D29" i="38"/>
  <c r="D13" i="32"/>
  <c r="J14" i="32"/>
  <c r="G13" i="32"/>
  <c r="P34" i="32"/>
  <c r="P32" i="32"/>
  <c r="AG18" i="32"/>
  <c r="AI18" i="32" s="1"/>
  <c r="V20" i="32"/>
  <c r="S21" i="32"/>
  <c r="T21" i="32" s="1"/>
  <c r="U21" i="32" s="1"/>
  <c r="W20" i="32"/>
  <c r="W19" i="32"/>
  <c r="V19" i="32"/>
  <c r="L24" i="32" s="1"/>
  <c r="K25" i="33" s="1"/>
  <c r="E7" i="31"/>
  <c r="D7" i="31"/>
  <c r="D5" i="31"/>
  <c r="G14" i="32" l="1"/>
  <c r="J15" i="32" s="1"/>
  <c r="K8" i="48"/>
  <c r="B8" i="48"/>
  <c r="B8" i="49"/>
  <c r="K8" i="34"/>
  <c r="K8" i="46"/>
  <c r="B8" i="46"/>
  <c r="B8" i="34"/>
  <c r="B5" i="37"/>
  <c r="P33" i="32"/>
  <c r="O30" i="32" s="1"/>
  <c r="AG20" i="32"/>
  <c r="AI20" i="32" s="1"/>
  <c r="AG19" i="32"/>
  <c r="AI19" i="32" s="1"/>
  <c r="W21" i="32"/>
  <c r="S22" i="32"/>
  <c r="V21" i="32"/>
  <c r="B6" i="12"/>
  <c r="B7" i="12"/>
  <c r="B8" i="12"/>
  <c r="B9" i="12"/>
  <c r="E25" i="12"/>
  <c r="E29" i="12"/>
  <c r="I29" i="12"/>
  <c r="I25" i="12"/>
  <c r="E20" i="12"/>
  <c r="I18" i="12"/>
  <c r="I21" i="12"/>
  <c r="E21" i="12"/>
  <c r="E19" i="12"/>
  <c r="E35" i="12"/>
  <c r="E36" i="12"/>
  <c r="E38" i="12"/>
  <c r="I38" i="12"/>
  <c r="I36" i="12"/>
  <c r="O36" i="32" l="1"/>
  <c r="L6" i="32" s="1"/>
  <c r="L9" i="32" s="1"/>
  <c r="I15" i="38" s="1"/>
  <c r="O39" i="32"/>
  <c r="L34" i="32"/>
  <c r="AG21" i="32"/>
  <c r="AI21" i="32" s="1"/>
  <c r="T22" i="32"/>
  <c r="U22" i="32" s="1"/>
  <c r="Y7" i="32" l="1"/>
  <c r="Y8" i="32"/>
  <c r="G75" i="40"/>
  <c r="G77" i="40" s="1"/>
  <c r="O41" i="32"/>
  <c r="I26" i="33"/>
  <c r="L36" i="32"/>
  <c r="E8" i="38"/>
  <c r="V22" i="32"/>
  <c r="W22" i="32"/>
  <c r="S23" i="32"/>
  <c r="T23" i="32" s="1"/>
  <c r="U23" i="32" s="1"/>
  <c r="Y23" i="32" l="1"/>
  <c r="Y18" i="32"/>
  <c r="Y19" i="32"/>
  <c r="Y21" i="32"/>
  <c r="Y20" i="32"/>
  <c r="Y17" i="32"/>
  <c r="Y22" i="32"/>
  <c r="T80" i="40"/>
  <c r="T81" i="40" s="1"/>
  <c r="U76" i="40"/>
  <c r="U77" i="40" s="1"/>
  <c r="U80" i="40"/>
  <c r="U81" i="40" s="1"/>
  <c r="V76" i="40"/>
  <c r="V77" i="40" s="1"/>
  <c r="V80" i="40"/>
  <c r="V81" i="40" s="1"/>
  <c r="Q76" i="40"/>
  <c r="Q77" i="40" s="1"/>
  <c r="Q80" i="40"/>
  <c r="Q81" i="40" s="1"/>
  <c r="P76" i="40"/>
  <c r="P77" i="40" s="1"/>
  <c r="R76" i="40"/>
  <c r="R77" i="40" s="1"/>
  <c r="R80" i="40"/>
  <c r="R81" i="40" s="1"/>
  <c r="S76" i="40"/>
  <c r="S77" i="40" s="1"/>
  <c r="S80" i="40"/>
  <c r="S81" i="40" s="1"/>
  <c r="T76" i="40"/>
  <c r="T77" i="40" s="1"/>
  <c r="P80" i="40"/>
  <c r="T82" i="40"/>
  <c r="V82" i="40"/>
  <c r="S82" i="40"/>
  <c r="U82" i="40"/>
  <c r="R82" i="40"/>
  <c r="Q82" i="40"/>
  <c r="P82" i="40"/>
  <c r="AG22" i="32"/>
  <c r="AI22" i="32" s="1"/>
  <c r="V23" i="32"/>
  <c r="W23" i="32"/>
  <c r="H82" i="40" l="1" a="1"/>
  <c r="H82" i="40" s="1"/>
  <c r="D87" i="31" s="1"/>
  <c r="P81" i="40"/>
  <c r="K94" i="31" s="1" a="1"/>
  <c r="K94" i="31" s="1"/>
  <c r="J94" i="31" a="1"/>
  <c r="J94" i="31" s="1"/>
  <c r="AG23" i="32"/>
  <c r="AI23" i="32" s="1"/>
  <c r="R41" i="32" l="1"/>
  <c r="Y15" i="32" s="1"/>
  <c r="F22" i="33"/>
  <c r="E14" i="2"/>
  <c r="E26" i="33"/>
  <c r="F14" i="2"/>
  <c r="D17" i="2" s="1"/>
  <c r="E17" i="2" l="1"/>
  <c r="E24" i="2" s="1"/>
  <c r="D24" i="2"/>
  <c r="R7" i="32"/>
  <c r="X10" i="32" s="1"/>
  <c r="Y14" i="32"/>
  <c r="Y13" i="32"/>
  <c r="Y12" i="32"/>
  <c r="Y11" i="32"/>
  <c r="Y10" i="32"/>
  <c r="Y16" i="32"/>
  <c r="C11" i="38"/>
  <c r="E11" i="38" s="1"/>
  <c r="X14" i="32" l="1"/>
  <c r="X16" i="32"/>
  <c r="X15" i="32"/>
  <c r="X13" i="32"/>
  <c r="X12" i="32"/>
  <c r="X11" i="32"/>
  <c r="E20" i="38"/>
  <c r="C30" i="2"/>
  <c r="C31" i="2" s="1"/>
  <c r="G10" i="50"/>
  <c r="G14" i="50"/>
  <c r="L30" i="32"/>
  <c r="I16" i="38" s="1"/>
  <c r="F33" i="33"/>
  <c r="E4" i="31"/>
  <c r="E33" i="33"/>
  <c r="D26" i="2"/>
  <c r="D4" i="31"/>
  <c r="B18" i="50" l="1"/>
  <c r="C20" i="38"/>
  <c r="G16" i="50"/>
  <c r="E36" i="33"/>
  <c r="E27" i="31" s="1"/>
  <c r="D6" i="31"/>
  <c r="C10" i="31" s="1"/>
  <c r="F30" i="2"/>
  <c r="G66" i="40"/>
  <c r="G62" i="40"/>
  <c r="F36" i="33"/>
  <c r="C7" i="32"/>
  <c r="H7" i="32" s="1"/>
  <c r="E43" i="33"/>
  <c r="O15" i="31"/>
  <c r="C29" i="38"/>
  <c r="E24" i="38" l="1"/>
  <c r="G64" i="40"/>
  <c r="J63" i="40"/>
  <c r="K63" i="40"/>
  <c r="N63" i="40"/>
  <c r="L63" i="40"/>
  <c r="P63" i="40"/>
  <c r="M63" i="40"/>
  <c r="Q63" i="40"/>
  <c r="O63" i="40"/>
  <c r="I63" i="40"/>
  <c r="C32" i="2"/>
  <c r="F31" i="2"/>
  <c r="E25" i="38" s="1"/>
  <c r="C47" i="2"/>
  <c r="L32" i="32" s="1"/>
  <c r="O19" i="31"/>
  <c r="J4" i="38"/>
  <c r="F10" i="31"/>
  <c r="C11" i="31"/>
  <c r="V63" i="40" l="1"/>
  <c r="U63" i="40"/>
  <c r="T63" i="40"/>
  <c r="R63" i="40"/>
  <c r="S63" i="40"/>
  <c r="AO21" i="32"/>
  <c r="AO19" i="32"/>
  <c r="AO20" i="32"/>
  <c r="AO22" i="32"/>
  <c r="AO18" i="32"/>
  <c r="AO23" i="32"/>
  <c r="D61" i="40" a="1"/>
  <c r="D61" i="40" s="1"/>
  <c r="C98" i="40" s="1"/>
  <c r="F32" i="2"/>
  <c r="E26" i="38" s="1"/>
  <c r="C33" i="2"/>
  <c r="C12" i="31"/>
  <c r="F11" i="31"/>
  <c r="I13" i="38"/>
  <c r="J8" i="38"/>
  <c r="M32" i="32" l="1"/>
  <c r="C57" i="2"/>
  <c r="C103" i="40"/>
  <c r="D62" i="40"/>
  <c r="D65" i="40" s="1"/>
  <c r="C66" i="40" s="1" a="1"/>
  <c r="C66" i="40" s="1"/>
  <c r="C89" i="40"/>
  <c r="C13" i="31"/>
  <c r="F12" i="31"/>
  <c r="C34" i="2"/>
  <c r="F33" i="2"/>
  <c r="C58" i="2" l="1"/>
  <c r="E27" i="38"/>
  <c r="C14" i="31"/>
  <c r="F13" i="31"/>
  <c r="F34" i="2"/>
  <c r="E28" i="38" s="1"/>
  <c r="C35" i="2"/>
  <c r="C36" i="2" s="1"/>
  <c r="F36" i="2" s="1"/>
  <c r="D94" i="40"/>
  <c r="U68" i="40"/>
  <c r="D92" i="40"/>
  <c r="T68" i="40"/>
  <c r="Q68" i="40"/>
  <c r="V68" i="40"/>
  <c r="S68" i="40"/>
  <c r="D91" i="40"/>
  <c r="E91" i="40" s="1"/>
  <c r="G91" i="40" s="1"/>
  <c r="H91" i="40" s="1"/>
  <c r="D100" i="40"/>
  <c r="E100" i="40" s="1"/>
  <c r="G100" i="40" s="1"/>
  <c r="H100" i="40" s="1"/>
  <c r="R68" i="40"/>
  <c r="D66" i="40"/>
  <c r="P68" i="40"/>
  <c r="E56" i="2"/>
  <c r="D98" i="40"/>
  <c r="D89" i="40"/>
  <c r="D101" i="40"/>
  <c r="E101" i="40" s="1"/>
  <c r="G101" i="40" s="1"/>
  <c r="H101" i="40" s="1"/>
  <c r="D105" i="40"/>
  <c r="E105" i="40" s="1"/>
  <c r="G105" i="40" s="1"/>
  <c r="H105" i="40" s="1"/>
  <c r="D106" i="40"/>
  <c r="E106" i="40" s="1"/>
  <c r="G106" i="40" s="1"/>
  <c r="H106" i="40" s="1"/>
  <c r="H110" i="40" s="1"/>
  <c r="D103" i="40"/>
  <c r="AQ19" i="32" l="1"/>
  <c r="AQ11" i="32"/>
  <c r="AQ20" i="32"/>
  <c r="AQ12" i="32"/>
  <c r="AQ21" i="32"/>
  <c r="AQ22" i="32"/>
  <c r="AQ14" i="32"/>
  <c r="AQ23" i="32"/>
  <c r="AQ15" i="32"/>
  <c r="AQ16" i="32"/>
  <c r="AQ17" i="32"/>
  <c r="AQ18" i="32"/>
  <c r="AQ13" i="32"/>
  <c r="AQ10" i="32"/>
  <c r="H98" i="40"/>
  <c r="M68" i="40" s="1"/>
  <c r="G94" i="40"/>
  <c r="D95" i="40"/>
  <c r="C15" i="31"/>
  <c r="F14" i="31"/>
  <c r="H108" i="40"/>
  <c r="H109" i="40"/>
  <c r="D93" i="40"/>
  <c r="E93" i="40" s="1"/>
  <c r="G93" i="40" s="1"/>
  <c r="G92" i="40"/>
  <c r="AR16" i="32" l="1"/>
  <c r="AR19" i="32"/>
  <c r="AR18" i="32"/>
  <c r="AR23" i="32"/>
  <c r="AR11" i="32"/>
  <c r="AR20" i="32"/>
  <c r="AR12" i="32"/>
  <c r="AR21" i="32"/>
  <c r="AR13" i="32"/>
  <c r="AR22" i="32"/>
  <c r="AR14" i="32"/>
  <c r="AR15" i="32"/>
  <c r="AR10" i="32"/>
  <c r="AR17" i="32"/>
  <c r="C16" i="31"/>
  <c r="F16" i="31" s="1"/>
  <c r="F35" i="2"/>
  <c r="L68" i="40"/>
  <c r="N68" i="40"/>
  <c r="H103" i="40"/>
  <c r="O68" i="40" s="1"/>
  <c r="H92" i="40"/>
  <c r="G95" i="40"/>
  <c r="D96" i="40"/>
  <c r="E96" i="40" s="1"/>
  <c r="G96" i="40" s="1"/>
  <c r="F15" i="31" l="1"/>
  <c r="G16" i="31" s="1"/>
  <c r="G18" i="50" s="1"/>
  <c r="F17" i="31"/>
  <c r="L6" i="31" s="1"/>
  <c r="E29" i="38"/>
  <c r="H94" i="40"/>
  <c r="H89" i="40" s="1"/>
  <c r="K68" i="40" s="1"/>
  <c r="G17" i="31" l="1"/>
  <c r="I11" i="31" s="1"/>
  <c r="F18" i="31" s="1"/>
  <c r="G67" i="40"/>
  <c r="G68" i="40" s="1"/>
  <c r="D68" i="40" s="1"/>
  <c r="C73" i="40" s="1"/>
  <c r="L8" i="31"/>
  <c r="E38" i="31" s="1"/>
  <c r="K5" i="31"/>
  <c r="B30" i="38" s="1"/>
  <c r="I68" i="40"/>
  <c r="J68" i="40"/>
  <c r="D67" i="40" s="1" a="1"/>
  <c r="D67" i="40" s="1"/>
  <c r="F56" i="2" s="1"/>
  <c r="F57" i="2" l="1"/>
  <c r="K32" i="33"/>
  <c r="G20" i="50"/>
  <c r="G22" i="50"/>
  <c r="F37" i="2"/>
  <c r="G12" i="50"/>
  <c r="E30" i="38"/>
  <c r="L15" i="31"/>
  <c r="C76" i="40"/>
  <c r="C36" i="38" s="1"/>
  <c r="G19" i="50"/>
  <c r="C37" i="2"/>
  <c r="E29" i="31"/>
  <c r="B29" i="50" s="1"/>
  <c r="B26" i="50"/>
  <c r="E31" i="38"/>
  <c r="F20" i="31"/>
  <c r="F38" i="2"/>
  <c r="D69" i="40"/>
  <c r="E36" i="38" s="1"/>
  <c r="F40" i="2" l="1"/>
  <c r="E33" i="38" s="1"/>
  <c r="B41" i="2"/>
  <c r="F58" i="2"/>
  <c r="F41" i="2" s="1"/>
  <c r="E39" i="31"/>
  <c r="E40" i="31" s="1"/>
  <c r="E41" i="31" s="1"/>
  <c r="E31" i="31" s="1"/>
  <c r="E33" i="31" s="1"/>
  <c r="E34" i="31" s="1"/>
  <c r="L17" i="31" s="1"/>
  <c r="E30" i="31"/>
  <c r="L16" i="31"/>
  <c r="K33" i="33" l="1"/>
  <c r="E35" i="31"/>
  <c r="F42" i="2" s="1"/>
  <c r="D7" i="40" s="1"/>
  <c r="E37" i="38" l="1"/>
  <c r="N21" i="40"/>
  <c r="L20" i="40"/>
  <c r="Q24" i="40"/>
  <c r="R22" i="40"/>
  <c r="S22" i="40"/>
  <c r="R20" i="40"/>
  <c r="J20" i="40"/>
  <c r="S20" i="40"/>
  <c r="U20" i="40"/>
  <c r="T20" i="40"/>
  <c r="D8" i="40"/>
  <c r="T19" i="40"/>
  <c r="V19" i="40"/>
  <c r="V21" i="40"/>
  <c r="K19" i="40"/>
  <c r="I22" i="40"/>
  <c r="P23" i="40"/>
  <c r="Q23" i="40"/>
  <c r="P21" i="40"/>
  <c r="S21" i="40"/>
  <c r="Q21" i="40"/>
  <c r="O23" i="40"/>
  <c r="R21" i="40"/>
  <c r="Q22" i="40"/>
  <c r="U24" i="40"/>
  <c r="V22" i="40"/>
  <c r="S24" i="40"/>
  <c r="V20" i="40"/>
  <c r="I23" i="40"/>
  <c r="T21" i="40"/>
  <c r="L22" i="40"/>
  <c r="T22" i="40"/>
  <c r="S19" i="40"/>
  <c r="M22" i="40"/>
  <c r="N24" i="40"/>
  <c r="O24" i="40"/>
  <c r="N22" i="40"/>
  <c r="O22" i="40"/>
  <c r="P22" i="40"/>
  <c r="J23" i="40"/>
  <c r="K20" i="40"/>
  <c r="K24" i="40"/>
  <c r="U22" i="40"/>
  <c r="N19" i="40"/>
  <c r="U21" i="40"/>
  <c r="U19" i="40"/>
  <c r="R23" i="40"/>
  <c r="Q20" i="40"/>
  <c r="K21" i="40"/>
  <c r="V24" i="40"/>
  <c r="I20" i="40"/>
  <c r="J24" i="40"/>
  <c r="N23" i="40"/>
  <c r="R19" i="40"/>
  <c r="M19" i="40"/>
  <c r="S23" i="40"/>
  <c r="M21" i="40"/>
  <c r="P24" i="40"/>
  <c r="O21" i="40"/>
  <c r="P19" i="40"/>
  <c r="L21" i="40"/>
  <c r="M24" i="40"/>
  <c r="T23" i="40"/>
  <c r="L23" i="40"/>
  <c r="U23" i="40"/>
  <c r="M23" i="40"/>
  <c r="V23" i="40"/>
  <c r="R24" i="40"/>
  <c r="Q19" i="40"/>
  <c r="L19" i="40"/>
  <c r="I19" i="40"/>
  <c r="L24" i="40"/>
  <c r="O19" i="40"/>
  <c r="J19" i="40"/>
  <c r="I21" i="40"/>
  <c r="J22" i="40"/>
  <c r="N20" i="40"/>
  <c r="O20" i="40"/>
  <c r="M20" i="40"/>
  <c r="K23" i="40"/>
  <c r="T24" i="40"/>
  <c r="J21" i="40"/>
  <c r="I24" i="40"/>
  <c r="P20" i="40"/>
  <c r="K22" i="40"/>
  <c r="F5" i="40" l="1" a="1"/>
  <c r="F5" i="40" s="1"/>
  <c r="D9" i="40" s="1"/>
  <c r="D10" i="40" s="1"/>
  <c r="I33" i="33" s="1"/>
  <c r="L18" i="31" l="1"/>
  <c r="L20" i="31" s="1"/>
  <c r="L21" i="31" s="1"/>
  <c r="L22" i="31" s="1"/>
  <c r="L23" i="31" s="1"/>
  <c r="C51" i="2" s="1"/>
  <c r="E38" i="38"/>
  <c r="F43" i="2"/>
  <c r="F44" i="2" s="1"/>
  <c r="E39" i="38" s="1"/>
  <c r="J9" i="38" s="1"/>
  <c r="E7" i="38" l="1"/>
  <c r="A38" i="38"/>
  <c r="C6" i="32"/>
  <c r="H6" i="32" s="1"/>
  <c r="H8" i="32" s="1"/>
  <c r="I14" i="38" s="1"/>
  <c r="L31" i="32"/>
  <c r="L33" i="32" s="1"/>
  <c r="O21" i="34"/>
  <c r="F13" i="37"/>
  <c r="K31" i="33"/>
  <c r="H9" i="32" l="1"/>
  <c r="J13" i="32" s="1"/>
  <c r="D15" i="32" s="1"/>
  <c r="J12" i="32"/>
  <c r="D14" i="32" s="1"/>
  <c r="I11" i="38"/>
  <c r="D16" i="32" l="1"/>
  <c r="C17" i="32" s="1"/>
  <c r="D17" i="32" s="1"/>
  <c r="D18" i="32" s="1"/>
  <c r="F47" i="2" s="1"/>
  <c r="M31" i="32" s="1"/>
  <c r="M33" i="32" s="1"/>
  <c r="M34" i="32" s="1"/>
  <c r="AJ11" i="32" l="1"/>
  <c r="AJ13" i="32"/>
  <c r="AJ14" i="32"/>
  <c r="AJ10" i="32"/>
  <c r="AJ16" i="32"/>
  <c r="AJ12" i="32"/>
  <c r="AJ15" i="32"/>
  <c r="I32" i="33"/>
  <c r="F15" i="37" s="1"/>
  <c r="J15" i="38"/>
  <c r="AJ18" i="32"/>
  <c r="AJ20" i="32"/>
  <c r="AJ21" i="32"/>
  <c r="AJ22" i="32"/>
  <c r="AJ17" i="32"/>
  <c r="AJ19" i="32"/>
  <c r="AJ23" i="32"/>
  <c r="M36" i="32"/>
  <c r="O24" i="34" l="1"/>
  <c r="M37" i="32"/>
  <c r="T32" i="32" l="1"/>
  <c r="F16" i="38" s="1"/>
  <c r="L37" i="32"/>
  <c r="L38" i="32" s="1"/>
  <c r="L39" i="32" s="1"/>
  <c r="H34" i="33" l="1"/>
  <c r="B44" i="2"/>
  <c r="D48" i="2"/>
  <c r="K41" i="32"/>
  <c r="L41" i="32" s="1"/>
  <c r="L42" i="32" s="1"/>
  <c r="AK7" i="32" s="1"/>
  <c r="AK8" i="32" l="1"/>
  <c r="AK17" i="32"/>
  <c r="AK23" i="32"/>
  <c r="AK18" i="32"/>
  <c r="AK20" i="32"/>
  <c r="AK22" i="32"/>
  <c r="AK21" i="32"/>
  <c r="AK19" i="32"/>
  <c r="AK11" i="32" l="1"/>
  <c r="AK12" i="32"/>
  <c r="AK13" i="32"/>
  <c r="AK14" i="32"/>
  <c r="AK15" i="32"/>
  <c r="AK10" i="32"/>
  <c r="AK16" i="32"/>
  <c r="L43" i="32" l="1"/>
  <c r="F48" i="2" s="1"/>
  <c r="F52" i="2" s="1"/>
  <c r="J16" i="38" l="1"/>
  <c r="I34" i="33"/>
  <c r="F16" i="37" s="1"/>
  <c r="R31" i="32"/>
  <c r="S30" i="32"/>
  <c r="J36" i="33"/>
  <c r="K36" i="33" s="1"/>
  <c r="R32" i="32" l="1"/>
  <c r="J25" i="34" s="1"/>
  <c r="O25" i="34"/>
  <c r="J17" i="34"/>
  <c r="A11" i="37"/>
  <c r="B42" i="34"/>
  <c r="J19" i="38"/>
  <c r="A35" i="34"/>
  <c r="A28" i="34"/>
  <c r="A16" i="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Mottakenur</author>
  </authors>
  <commentList>
    <comment ref="I6" authorId="0" shapeId="0" xr:uid="{CE1958BF-B0B9-4044-AD70-9427DAC9FBA7}">
      <text>
        <r>
          <rPr>
            <sz val="9"/>
            <color indexed="81"/>
            <rFont val="Tahoma"/>
            <family val="2"/>
          </rPr>
          <t xml:space="preserve">এলাকা ভিত্তিক ন্যুনতম কর।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Mottakenur</author>
    <author>Surface</author>
  </authors>
  <commentList>
    <comment ref="AB2" authorId="0" shapeId="0" xr:uid="{44AA5413-1BD5-4644-9272-42D6CF7EC0AB}">
      <text>
        <r>
          <rPr>
            <b/>
            <sz val="9"/>
            <color indexed="81"/>
            <rFont val="Tahoma"/>
            <family val="2"/>
          </rPr>
          <t>Mottakenur:</t>
        </r>
        <r>
          <rPr>
            <sz val="9"/>
            <color indexed="81"/>
            <rFont val="Tahoma"/>
            <family val="2"/>
          </rPr>
          <t xml:space="preserve">
 সবার শেষের দিন, এখানে একটা = বসালেই, কাজ শেষ। </t>
        </r>
      </text>
    </comment>
    <comment ref="L6" authorId="0" shapeId="0" xr:uid="{323D376D-AC0F-4B8B-9EDB-9D942B41B122}">
      <text>
        <r>
          <rPr>
            <b/>
            <sz val="9"/>
            <color indexed="81"/>
            <rFont val="Tahoma"/>
            <family val="2"/>
          </rPr>
          <t>Mottakenur:</t>
        </r>
        <r>
          <rPr>
            <sz val="9"/>
            <color indexed="81"/>
            <rFont val="Tahoma"/>
            <family val="2"/>
          </rPr>
          <t xml:space="preserve">
গাড়ির ট্যাক্সের ধারণাগত অংশ বাদে, কেবল নিয়মিত খাতের আয়ের বিপরীতে ট্যাক্স। *(১৬৩ বাদ)</t>
        </r>
      </text>
    </comment>
    <comment ref="D73" authorId="1" shapeId="0" xr:uid="{40AF1C22-BACE-4823-B646-D1D78D2DBB27}">
      <text>
        <r>
          <rPr>
            <b/>
            <sz val="9"/>
            <color indexed="81"/>
            <rFont val="Tahoma"/>
            <family val="2"/>
          </rPr>
          <t>Surface:</t>
        </r>
        <r>
          <rPr>
            <sz val="9"/>
            <color indexed="81"/>
            <rFont val="Tahoma"/>
            <family val="2"/>
          </rPr>
          <t xml:space="preserve">
Only for A.Y.: 
2025-2026.</t>
        </r>
      </text>
    </comment>
    <comment ref="G141" authorId="0" shapeId="0" xr:uid="{143DE6DB-A731-4513-8D51-21B0372B8313}">
      <text>
        <r>
          <rPr>
            <b/>
            <sz val="9"/>
            <color indexed="81"/>
            <rFont val="Tahoma"/>
            <family val="2"/>
          </rPr>
          <t>DCT অফিসের ঠিকানা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Surface</author>
  </authors>
  <commentList>
    <comment ref="F64" authorId="0" shapeId="0" xr:uid="{A7696469-F716-4D89-A698-2C310C1E764E}">
      <text>
        <r>
          <rPr>
            <b/>
            <sz val="9"/>
            <color indexed="81"/>
            <rFont val="Tahoma"/>
            <family val="2"/>
          </rPr>
          <t>Surface:</t>
        </r>
        <r>
          <rPr>
            <sz val="9"/>
            <color indexed="81"/>
            <rFont val="Tahoma"/>
            <family val="2"/>
          </rPr>
          <t xml:space="preserve">
Applicable from 
2025-26.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Surface</author>
  </authors>
  <commentList>
    <comment ref="R19" authorId="0" shapeId="0" xr:uid="{23ED55AC-FEAF-4DC9-A6A7-BA222BA319EB}">
      <text>
        <r>
          <rPr>
            <b/>
            <sz val="9"/>
            <color indexed="81"/>
            <rFont val="Tahoma"/>
          </rPr>
          <t>Surface:</t>
        </r>
        <r>
          <rPr>
            <sz val="9"/>
            <color indexed="81"/>
            <rFont val="Tahoma"/>
          </rPr>
          <t xml:space="preserve">
07 Slabs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<sst xmlns="http://schemas.openxmlformats.org/spreadsheetml/2006/main" count="1319" uniqueCount="820">
  <si>
    <t>Tk</t>
  </si>
  <si>
    <t>Tk.</t>
  </si>
  <si>
    <t>To</t>
  </si>
  <si>
    <t>Opening  Stock</t>
  </si>
  <si>
    <t>By</t>
  </si>
  <si>
    <t>Sales</t>
  </si>
  <si>
    <t>Purchase</t>
  </si>
  <si>
    <t>Closing Stock</t>
  </si>
  <si>
    <t>Gross  Profit</t>
  </si>
  <si>
    <t>Business Exp.</t>
  </si>
  <si>
    <t>Gross Profit</t>
  </si>
  <si>
    <t>Capital &amp; Liabilities</t>
  </si>
  <si>
    <t>Property &amp; Assets</t>
  </si>
  <si>
    <t xml:space="preserve">Capital  </t>
  </si>
  <si>
    <t xml:space="preserve">Closing stock </t>
  </si>
  <si>
    <t>Add.Net Profit</t>
  </si>
  <si>
    <t>Sundry Assets</t>
  </si>
  <si>
    <t>Cash in Hand &amp;  Bank</t>
  </si>
  <si>
    <t>Less. Famely Exp</t>
  </si>
  <si>
    <t>Assessment Year -2013-2014</t>
  </si>
  <si>
    <t>Statement of Accounts for the year ended 30-06-2013</t>
  </si>
  <si>
    <t>Trading Accounts for the year ended 30-06-2013</t>
  </si>
  <si>
    <t>Profi &amp; Loss  Accounts for the year ended 30-06-2013</t>
  </si>
  <si>
    <t>Balance Sheet for the year ended 30-06-2013</t>
  </si>
  <si>
    <t>Business: Dealing  Accessories supply</t>
  </si>
  <si>
    <t>Net Profit 82 C</t>
  </si>
  <si>
    <t>UvKv</t>
  </si>
  <si>
    <t>nvi</t>
  </si>
  <si>
    <t>avc</t>
  </si>
  <si>
    <t>‡gvU †iqvZ</t>
  </si>
  <si>
    <t>cÖ‡`q AvqKi</t>
  </si>
  <si>
    <t>Ki †iqvZ cwiMYbv</t>
  </si>
  <si>
    <t>LvZ wfwËK Avq</t>
  </si>
  <si>
    <t>Dr‡m KwZ©Z Ki</t>
  </si>
  <si>
    <t xml:space="preserve"> (b¨~bZg Ki`vq)</t>
  </si>
  <si>
    <t xml:space="preserve">Ki cwiMYbv </t>
  </si>
  <si>
    <t>wUAvBGb:</t>
  </si>
  <si>
    <t>aiY:</t>
  </si>
  <si>
    <t>Ki (UvKv)</t>
  </si>
  <si>
    <t>†iqvZ cieZ©x ‡gvU AvqKi</t>
  </si>
  <si>
    <t>Ki †iqvZ (ev`)</t>
  </si>
  <si>
    <t xml:space="preserve">mviPvR© (‡hvM) </t>
  </si>
  <si>
    <t xml:space="preserve">ZvwiLt </t>
  </si>
  <si>
    <t xml:space="preserve"> (UvKv)</t>
  </si>
  <si>
    <t>mviPvR©</t>
  </si>
  <si>
    <t>A_©eQi †k‡l bxU m¤c`</t>
  </si>
  <si>
    <t xml:space="preserve">wiUvb© `vwL‡ji ZvwiLt </t>
  </si>
  <si>
    <t>T1</t>
  </si>
  <si>
    <t>T2</t>
  </si>
  <si>
    <t>75% of Tax</t>
  </si>
  <si>
    <t>Rest</t>
  </si>
  <si>
    <t>Net Tax</t>
  </si>
  <si>
    <t>A.Y. Starts=</t>
  </si>
  <si>
    <t>Time Barred</t>
  </si>
  <si>
    <t>Assessmet Year</t>
  </si>
  <si>
    <t>2022-23</t>
  </si>
  <si>
    <t>Days</t>
  </si>
  <si>
    <t>D1</t>
  </si>
  <si>
    <t>D2</t>
  </si>
  <si>
    <t>D2 xT2</t>
  </si>
  <si>
    <t xml:space="preserve"> D1 x T1</t>
  </si>
  <si>
    <t>P1</t>
  </si>
  <si>
    <t>P2</t>
  </si>
  <si>
    <t>Interest</t>
  </si>
  <si>
    <t>I =</t>
  </si>
  <si>
    <t>Barred Time</t>
  </si>
  <si>
    <t>Total</t>
  </si>
  <si>
    <t>bxU AvqKi</t>
  </si>
  <si>
    <t>পুরুষ</t>
  </si>
  <si>
    <t>প্রতিবন্ধী সন্তানযুক্ত পিতা</t>
  </si>
  <si>
    <t>প্রতিবন্ধী সন্তানযুক্ত মাতা</t>
  </si>
  <si>
    <t>মহিলা</t>
  </si>
  <si>
    <t>তৃতীয় লিঙ্গ</t>
  </si>
  <si>
    <t>৬৫ বা তদুর্ধ্ব বয়সী</t>
  </si>
  <si>
    <t>প্রতিবন্ধী</t>
  </si>
  <si>
    <t>2020-21</t>
  </si>
  <si>
    <t>2021-22</t>
  </si>
  <si>
    <t>2023-24</t>
  </si>
  <si>
    <t>I.Y Starts</t>
  </si>
  <si>
    <t>A.Y Starts</t>
  </si>
  <si>
    <t>I.Y Starts=</t>
  </si>
  <si>
    <t>A.Y Ends</t>
  </si>
  <si>
    <t>2024-25</t>
  </si>
  <si>
    <t>2025-26</t>
  </si>
  <si>
    <t>Kiel©</t>
  </si>
  <si>
    <t>wUAvBGb</t>
  </si>
  <si>
    <t>bvg</t>
  </si>
  <si>
    <t>wVKvbv</t>
  </si>
  <si>
    <t>wiUvb© `vwL‡ji Zvst</t>
  </si>
  <si>
    <t>Ki wba©vi‡Yi Zvst</t>
  </si>
  <si>
    <t>†iqvZ‡hvM¨ wewb‡qvM</t>
  </si>
  <si>
    <t>Rate</t>
  </si>
  <si>
    <t>%</t>
  </si>
  <si>
    <t xml:space="preserve">we‡qvRbt </t>
  </si>
  <si>
    <t>-</t>
  </si>
  <si>
    <t>Kiel©:</t>
  </si>
  <si>
    <t>bvg:</t>
  </si>
  <si>
    <t>wVKvbv:</t>
  </si>
  <si>
    <t>Ki mv‡K©jt</t>
  </si>
  <si>
    <t xml:space="preserve">K_vqt </t>
  </si>
  <si>
    <t>MYcÖRvZš¿x evsjv‡`k miKvi</t>
  </si>
  <si>
    <t>50/1, wfAvBwc †ivW, bqvcëb, XvKv|</t>
  </si>
  <si>
    <t xml:space="preserve">Awd‡mi wVKvbvt </t>
  </si>
  <si>
    <t xml:space="preserve">bw_ bs -          </t>
  </si>
  <si>
    <t>Ki`vZvi bvg t</t>
  </si>
  <si>
    <t>wU.AvB.Gb t</t>
  </si>
  <si>
    <t>wVKvbv t</t>
  </si>
  <si>
    <t xml:space="preserve">   ZvwiL t</t>
  </si>
  <si>
    <t xml:space="preserve"> wLªt</t>
  </si>
  <si>
    <t>welqt</t>
  </si>
  <si>
    <t>b¨~bZg Ki`vq</t>
  </si>
  <si>
    <t>†iqvZ cieZ©x ‡gvU AvqKi/b¨~bZg Ki`vq</t>
  </si>
  <si>
    <t>Ki cwiMYbvi cÖ_g avct</t>
  </si>
  <si>
    <t>b¨~bZg Ki`vq (GjvKv wfwËK)</t>
  </si>
  <si>
    <t>aiY</t>
  </si>
  <si>
    <t>BRTA গাড়ির ট্যাক্স অফেরতযোগ্য</t>
  </si>
  <si>
    <t>‡gvU AvqKi (mviPvR© mn)</t>
  </si>
  <si>
    <t>2017-18</t>
  </si>
  <si>
    <t>Assessment Date =</t>
  </si>
  <si>
    <t xml:space="preserve">Ki wba©viY el©t </t>
  </si>
  <si>
    <t>মোটরগাড়ি প্রতি সুবিধা</t>
  </si>
  <si>
    <t xml:space="preserve">গাড়ি রক্ষণাবেক্ষণ ভাতা </t>
  </si>
  <si>
    <t>কর্মচারী শেয়ার স্কিম হতে আয়</t>
  </si>
  <si>
    <t>কৃষি আয়</t>
  </si>
  <si>
    <t xml:space="preserve">অন্যান্য খাতের আয় </t>
  </si>
  <si>
    <t xml:space="preserve">স্বামী/স্ত্রী/নির্ভরশীল সন্তানের আয় </t>
  </si>
  <si>
    <t>I.Y Ends =</t>
  </si>
  <si>
    <t>I.Y Ends</t>
  </si>
  <si>
    <t>‡gvU Avq (163 avivi b¨~bZg Ki`vqfz³ Avq mn)</t>
  </si>
  <si>
    <t>wbqwgZ Drm n‡Z ‡gvU Avq (163 avivi Avq e¨wZZ)</t>
  </si>
  <si>
    <t xml:space="preserve"> †gvU Avq = </t>
  </si>
  <si>
    <t>153 avivq Mvwoi AwMÖg AvqKi</t>
  </si>
  <si>
    <t>wiUv‡b©i mv‡_ 173 avivq cÖ`Ë AvqKi</t>
  </si>
  <si>
    <t>Ki-Ae¨vnwZ cÖvß Avq</t>
  </si>
  <si>
    <t>Ki‡hvM¨ Avq</t>
  </si>
  <si>
    <t>(62 avivi Avq)</t>
  </si>
  <si>
    <t>(66 avivi Avq)</t>
  </si>
  <si>
    <t>(32,33,34 avivi Avq)</t>
  </si>
  <si>
    <t>(36,37 avivi Avq)</t>
  </si>
  <si>
    <t>(40,41 avivi Avq)</t>
  </si>
  <si>
    <t>163 avivi cÖv°wjZ AvqKi (b¨~bZg Ki`vq)</t>
  </si>
  <si>
    <t>‡gvU Avq (163 Avq e¨wZZ)</t>
  </si>
  <si>
    <t>163 avivq Avq</t>
  </si>
  <si>
    <t>‡gvU Avq (163 b¨~bZg Ki`vqfz³ Avq mn)</t>
  </si>
  <si>
    <t>163 avivq Avq (mÂqc‡Îi gybvdv BZ¨vw`)</t>
  </si>
  <si>
    <t>173 Tax</t>
  </si>
  <si>
    <t>Rest-173 Tax</t>
  </si>
  <si>
    <t>Source . tax</t>
  </si>
  <si>
    <t xml:space="preserve">153(7) aviv we‡ePbvq </t>
  </si>
  <si>
    <t>(58 avivi Avq)</t>
  </si>
  <si>
    <t>(31 avivi Avq)</t>
  </si>
  <si>
    <t>(34 avivi Avq)</t>
  </si>
  <si>
    <t>m¤§vwbZ Ki`vZv,</t>
  </si>
  <si>
    <t>w`b</t>
  </si>
  <si>
    <t xml:space="preserve">         ivR¯^ Avni‡Y Avcbvi mn‡hvwMZv GKvšÍ Kvg¨|</t>
  </si>
  <si>
    <t xml:space="preserve">      (K) AvqKi cwiMYbvq Kg Avq/Kg Ki/‡ewk †iqvZ/fzjfv‡e Ki wba©viY K‡i‡Qb|</t>
  </si>
  <si>
    <t xml:space="preserve">(P‚ovšÍ Ki`vqfz³) </t>
  </si>
  <si>
    <r>
      <t>cwiMYbv cÎ (</t>
    </r>
    <r>
      <rPr>
        <b/>
        <sz val="14"/>
        <rFont val="Times New Roman"/>
        <family val="1"/>
      </rPr>
      <t>Sheet of Computation</t>
    </r>
    <r>
      <rPr>
        <b/>
        <sz val="14"/>
        <rFont val="SutonnyMJ"/>
      </rPr>
      <t>)</t>
    </r>
  </si>
  <si>
    <t xml:space="preserve">c`ext </t>
  </si>
  <si>
    <t>Officer</t>
  </si>
  <si>
    <t>Sr. Officer</t>
  </si>
  <si>
    <t>Others</t>
  </si>
  <si>
    <t>e¨envi wewat</t>
  </si>
  <si>
    <t>(AvqKi AvBb, 2023 Abyhvqx)</t>
  </si>
  <si>
    <t>/- UvKv</t>
  </si>
  <si>
    <t>191(4), 143(2)(K), 267, 266, 269, 270, 271, 272, 273, 274, 275 avivq Rwigvbvt</t>
  </si>
  <si>
    <t>Demand Notice Date</t>
  </si>
  <si>
    <t>wWgvÛ †bvwU‡k cÖ`Ë mgq</t>
  </si>
  <si>
    <t>†h avivq Ki wba©viYt</t>
  </si>
  <si>
    <t>214(4) avivq my`t</t>
  </si>
  <si>
    <t>Desk Audit Hearing</t>
  </si>
  <si>
    <t>AvB.wU-15(2023)</t>
  </si>
  <si>
    <t>AvqKi AvBb, 2023 Gi 214 Abyhvqx `vex/cÖZ¨c©Y Gi †bvwUk</t>
  </si>
  <si>
    <t>ZvwiLt</t>
  </si>
  <si>
    <t>cÖwZ</t>
  </si>
  <si>
    <t>wVKvbvt</t>
  </si>
  <si>
    <t>wU.AvB.Gb:</t>
  </si>
  <si>
    <t>Ki`vZvi bvg:</t>
  </si>
  <si>
    <t>bs:</t>
  </si>
  <si>
    <t>AvqKi/cÖZ¨c©Y†hvM¨ Ki:</t>
  </si>
  <si>
    <r>
      <rPr>
        <b/>
        <sz val="12"/>
        <color rgb="FF000000"/>
        <rFont val="SutonnyMJ"/>
      </rPr>
      <t>RvZxq ivR¯^ †evW©</t>
    </r>
    <r>
      <rPr>
        <sz val="12"/>
        <color rgb="FF000000"/>
        <rFont val="SutonnyMJ"/>
      </rPr>
      <t xml:space="preserve">
</t>
    </r>
    <r>
      <rPr>
        <sz val="12"/>
        <color rgb="FF000000"/>
        <rFont val="Times New Roman"/>
        <family val="1"/>
      </rPr>
      <t>www.nbr.gov.bd</t>
    </r>
  </si>
  <si>
    <t>B‡gBjt</t>
  </si>
  <si>
    <t>...............................</t>
  </si>
  <si>
    <t>(Awd‡mi mxj †gvni)</t>
  </si>
  <si>
    <t>160, 162, 214(4) avivq my`: ..................</t>
  </si>
  <si>
    <t>(we‡kl †Kvb avivq hw` Ki`vq cÖ‡hvR¨ nq) Ab¨vb¨ AsK:</t>
  </si>
  <si>
    <t>Avwcj AwZwi³/ hyMœ Ki Kwgkbvi, †iÄ:</t>
  </si>
  <si>
    <t>Ki Avwcj AÂj :</t>
  </si>
  <si>
    <t>বৃহৎ করদাতা ইউনিট</t>
  </si>
  <si>
    <t>১, ঢাকা</t>
  </si>
  <si>
    <t>২, ঢাকা</t>
  </si>
  <si>
    <t>৩, ঢাকা</t>
  </si>
  <si>
    <t>৪, ঢাকা</t>
  </si>
  <si>
    <t>৫, ঢাকা</t>
  </si>
  <si>
    <t>৬, ঢাকা</t>
  </si>
  <si>
    <t>৭, ঢাকা</t>
  </si>
  <si>
    <t>৮, ঢাকা</t>
  </si>
  <si>
    <t>৯, ঢাকা</t>
  </si>
  <si>
    <t>১০, ঢাকা</t>
  </si>
  <si>
    <t>১১, ঢাকা</t>
  </si>
  <si>
    <t>১২, ঢাকা</t>
  </si>
  <si>
    <t>১৩, ঢাকা</t>
  </si>
  <si>
    <t>১৪, ঢাকা</t>
  </si>
  <si>
    <t>১৫, ঢাকা</t>
  </si>
  <si>
    <t>গাজীপুর</t>
  </si>
  <si>
    <t>নারায়ণগঞ্জ</t>
  </si>
  <si>
    <t>ময়মনসিংহ</t>
  </si>
  <si>
    <t>১, চট্টগ্রাম</t>
  </si>
  <si>
    <t>২, চট্টগ্রাম</t>
  </si>
  <si>
    <t>৪, চট্টগ্রাম</t>
  </si>
  <si>
    <t>খুলনা</t>
  </si>
  <si>
    <t>কুমিল্লা</t>
  </si>
  <si>
    <t>সিলেট</t>
  </si>
  <si>
    <t>রাজশাহী</t>
  </si>
  <si>
    <t>বরিশাল</t>
  </si>
  <si>
    <t>বগুড়া</t>
  </si>
  <si>
    <t>রংপুর</t>
  </si>
  <si>
    <t>চট্টগ্রাম</t>
  </si>
  <si>
    <t>জাতীয় রাজস্ব বোর্ড</t>
  </si>
  <si>
    <t>ট্যাক্সেস আপীলাত ট্রাইব্যুনাল</t>
  </si>
  <si>
    <t>সি আই সি</t>
  </si>
  <si>
    <t>কর পরিদর্শন পরিদপ্তর, ঢাকা</t>
  </si>
  <si>
    <t>বিসিএস (কর) একাডেমী, ঢাকা</t>
  </si>
  <si>
    <t>কেন্দ্রীয় জরীপ অঞ্চল</t>
  </si>
  <si>
    <t>Tax Day</t>
  </si>
  <si>
    <t>Tax Assessed</t>
  </si>
  <si>
    <t>Tax Paid in Advance (All)</t>
  </si>
  <si>
    <t>Return Submission</t>
  </si>
  <si>
    <t>Interval Months</t>
  </si>
  <si>
    <t>Delay Interest</t>
  </si>
  <si>
    <t>Delay Interest (Round )</t>
  </si>
  <si>
    <t>Assessment Current Year =</t>
  </si>
  <si>
    <t>18(4) avivi mviPvR© (‡hvM)</t>
  </si>
  <si>
    <t>Rwigvbv ev Ab¨vb¨ †Kvb Ki`vq</t>
  </si>
  <si>
    <t>ছুটি ভাতা/ছুটি নগদায়ন ইত্যাদি</t>
  </si>
  <si>
    <t>স্বীকৃত ভবিষ্য তহবিলের সুদ (জিপিএফ ইত্যাদি)</t>
  </si>
  <si>
    <t>সহকারী কর কমিশনার</t>
  </si>
  <si>
    <t>অতিঃ সহঃ কর কমিশনার</t>
  </si>
  <si>
    <t>৩। আপিলাদেশের বিরুদ্ধে আপীল দায়ের করিতে ইচ্ছুক হইলে উক্ত আপিলাদেশ প্রাপ্তির ৬০ দিনের মধ্যে কর আপিলাত ট্রাইব্যুনাল এর নিকট আপীল দায়ের করিতে পারিবেন।</t>
  </si>
  <si>
    <t>160 or 162 Int.(prev. 70 or 73 u/s)</t>
  </si>
  <si>
    <t>Dealy Int. Rate 174 u.s (prev.73A section)</t>
  </si>
  <si>
    <t>*(†KejgvÎ wbqwgZ Ki`v‡qi mv‡_ mgš^q‡hvM¨ )</t>
  </si>
  <si>
    <t>†iqvZ c~e©eZ©x cÖK…Z AvqKi (wbqwgZ I b¨~bZg/P‚ovšÍ Ki`vq)</t>
  </si>
  <si>
    <t>cÖK…Z AvqKi (wbqwgZ Dr‡mi Avq n‡Z)</t>
  </si>
  <si>
    <t xml:space="preserve">*wbqwgZ Ki`v‡qi mv‡_ mgš^q‡hvM¨ Ki †iqvZ </t>
  </si>
  <si>
    <t>b¨~bZg Ki`vq  A‡diZ‡hvM¨ , Amgš^q‡hvM¨ Ges 100% cwi‡kva‡hvM¨</t>
  </si>
  <si>
    <t>†iqvZ cieZ©x wbqwgZ Ki`vq (&gt; 0)</t>
  </si>
  <si>
    <t>cv_©K¨</t>
  </si>
  <si>
    <t>me©‡gvU Ki`vq</t>
  </si>
  <si>
    <t>163 avivbymv‡i AvqKi (cÖK…Z b¨~bZg Ki`vq)</t>
  </si>
  <si>
    <r>
      <t>163 avivq P‚ovšÍ Ki`vqmg~n</t>
    </r>
    <r>
      <rPr>
        <i/>
        <sz val="11"/>
        <rFont val="SutonnyMJ"/>
      </rPr>
      <t xml:space="preserve"> (mÂqc‡Îi gybvdv BZ¨vw`)</t>
    </r>
  </si>
  <si>
    <t>†iqvZ cieZ©x (GjvKv wfwËK) b¨~bZg Ki`vq</t>
  </si>
  <si>
    <t>/b¨~bZg Ki`vq     =</t>
  </si>
  <si>
    <t>৩ ~ ১০ কোটি</t>
  </si>
  <si>
    <t>&lt;= ৩ কোটি</t>
  </si>
  <si>
    <t>১০ ~ ২০ কোটি</t>
  </si>
  <si>
    <t>২০ ~ ৫০ কোটি</t>
  </si>
  <si>
    <t>&gt; ৫০ কোটি</t>
  </si>
  <si>
    <t>উপ কর কমিশনার</t>
  </si>
  <si>
    <t>যাতায়াত ভাতা</t>
  </si>
  <si>
    <t>অন্য কোন পারকুইজিট/ভাতা/সুবিধা ইত্যাদি</t>
  </si>
  <si>
    <t>সম্পূর্ণ করযোগ্য ভাতা/ভাতা সমূহ</t>
  </si>
  <si>
    <t>সম্পূর্ণ করমুক্ত কোন আয়/ভাতা সমূহ</t>
  </si>
  <si>
    <t>ব্যবসা হতে আয় (১৬৩ ধারার আয় ব্যতিত)</t>
  </si>
  <si>
    <t>ভাড়া হতে আয়</t>
  </si>
  <si>
    <t>UvKv:</t>
  </si>
  <si>
    <t>Dc Ki Kwgkbvi</t>
  </si>
  <si>
    <t>(bvg, ¯^v¶i I mxj)</t>
  </si>
  <si>
    <t>(Aci c„ôv `ªóe¨)</t>
  </si>
  <si>
    <t>Ki/cÖZ¨c©Y cwiMYbv dig</t>
  </si>
  <si>
    <t>c„ôv- 02</t>
  </si>
  <si>
    <t>AvB.wU-90 (2023)</t>
  </si>
  <si>
    <t>AvqKi AvBb, 2023 Gi aviv 212 Abyhvqx †bvwUk</t>
  </si>
  <si>
    <t>(AvqKi Awdm)</t>
  </si>
  <si>
    <t xml:space="preserve">cÖwZ </t>
  </si>
  <si>
    <t>Ki`vZvi bvgt</t>
  </si>
  <si>
    <t>wUAvBGbt</t>
  </si>
  <si>
    <t>Kiel©t</t>
  </si>
  <si>
    <t xml:space="preserve">      (cÖ‡hvR¨ †ÿ‡Î mshy³ cvZv `ªóe¨)|</t>
  </si>
  <si>
    <t xml:space="preserve">          (L) cÖ‡`q †hB cwigvY Ki I Ab¨vb¨ A¼ cwi‡kva GovBqv hvIqv nBqv‡Q Zvnv ewY©Z AvqKi wiUvb© `vwLj Kwievi</t>
  </si>
  <si>
    <t xml:space="preserve">                c~‡e© ev wiUvb© `vwLjKv‡j cwi‡kv‡ai Rb¨;</t>
  </si>
  <si>
    <t xml:space="preserve">          (M) `vwLjK…Z wiUv‡Y© †h Bmy¨‡Z Ki cwi‡kva GovBqv wMqv‡Q Zv my¯úó D‡jø‡Li Rb¨;</t>
  </si>
  <si>
    <t>4| GB †bvwUk Abymv‡i wiUvb© `vwL‡j e¨_© nB‡j AvqKi AvBb, 2023 Gi 183 ev 184 aviv Abyhvqx</t>
  </si>
  <si>
    <t xml:space="preserve">   Ki wba©viY Kwievi weavb iwnqv‡Q| ZvnvQvov D³ AvB‡bi 266 aviv Abyhvqx Rwigvbv Ges</t>
  </si>
  <si>
    <t xml:space="preserve">      312 aviv Abyhvqx `Û Av‡iv‡ci weavb iwnqv‡Q|</t>
  </si>
  <si>
    <t>B-‡gBj</t>
  </si>
  <si>
    <t xml:space="preserve"> . . . . . . . . . . . . . . . . . . . </t>
  </si>
  <si>
    <t>3|  Aby‡”Q` 2 G ewY©Z AvqKi wiUv‡b©i mwnZ mswkøó weeiYx I `wjjvw` `vwLj Kwi‡Z nB‡e|</t>
  </si>
  <si>
    <r>
      <t xml:space="preserve">2|  d‡j GB †bvwUk cvBevi </t>
    </r>
    <r>
      <rPr>
        <b/>
        <sz val="12"/>
        <color theme="1"/>
        <rFont val="SutonnyMJ"/>
      </rPr>
      <t>22 (evBk)</t>
    </r>
    <r>
      <rPr>
        <sz val="12"/>
        <color theme="1"/>
        <rFont val="SutonnyMJ"/>
      </rPr>
      <t xml:space="preserve"> w`‡bi g‡a¨-</t>
    </r>
  </si>
  <si>
    <t xml:space="preserve">     GB ‡bvwUk †cÖiY Kiv nBj|</t>
  </si>
  <si>
    <t>Aewkó Ki`vq</t>
  </si>
  <si>
    <t xml:space="preserve">Mvwoi U¨v· A‡diZ‡hvM¨ we‡ePbvq, Aewkó Ki`vq </t>
  </si>
  <si>
    <t>Dr‡m Ki (wbqwgZ)</t>
  </si>
  <si>
    <t>wiUv‡b©i mv‡_ 173</t>
  </si>
  <si>
    <t>cwi‡kvwaZ Kit</t>
  </si>
  <si>
    <t>Dr‡m Ki (b¨~bZg I P‚ovšÍ)</t>
  </si>
  <si>
    <t>‡gvU Avq (wbqwgZ+ b¨~bZg)</t>
  </si>
  <si>
    <t>AvqKi (wbqwgZ Dr‡mi Avq n‡Z)</t>
  </si>
  <si>
    <t>Aewkó Ki`vq + cwi‡kvwaZ (b¨~bZg+ P‚ovšÍ) Ki`vq</t>
  </si>
  <si>
    <t xml:space="preserve">                    †iqvZ c~e©eZ©x AvqKi (wbqwgZ/AbywgZ, b¨~bZg I P‚ovšÍ Ki`vq)</t>
  </si>
  <si>
    <t>†iqvZ cieZ©x AvqKi (wbqwgZ/AbywgZ, b¨~bZg I P‚ovšÍ)</t>
  </si>
  <si>
    <t>cwi‡kvwaZ †gvUt</t>
  </si>
  <si>
    <t>প্রযোজ্য</t>
  </si>
  <si>
    <t>প্রযোজ্য নহে</t>
  </si>
  <si>
    <t>evwo/Mvwoi mviPvR©</t>
  </si>
  <si>
    <t>bxU m¤cwËi mviPvR©</t>
  </si>
  <si>
    <t>Pvt. Employee</t>
  </si>
  <si>
    <t>Ret. Officials</t>
  </si>
  <si>
    <t>Service Holder</t>
  </si>
  <si>
    <t>Bussiness Person</t>
  </si>
  <si>
    <t>Banker (Non-Executive)</t>
  </si>
  <si>
    <t>Banker (Executive)</t>
  </si>
  <si>
    <t>Banker (Govt)</t>
  </si>
  <si>
    <t>Govt. Employee</t>
  </si>
  <si>
    <t>Tax Payee (General)</t>
  </si>
  <si>
    <t>Firm</t>
  </si>
  <si>
    <t>AOP</t>
  </si>
  <si>
    <t>A.G.M/D.G.M</t>
  </si>
  <si>
    <t>G.M/D.M.D</t>
  </si>
  <si>
    <t>MD/CEO</t>
  </si>
  <si>
    <t>Director/Equivalent</t>
  </si>
  <si>
    <t>Manager/Equivalent</t>
  </si>
  <si>
    <t>Assessment Years</t>
  </si>
  <si>
    <t>Sample Date</t>
  </si>
  <si>
    <t>Ki w`em</t>
  </si>
  <si>
    <t>B-wU.AvB.Gb:</t>
  </si>
  <si>
    <t>wiUvb© `vwL‡ji ZvwiL:</t>
  </si>
  <si>
    <t>†h avivq Ki wba©viY:</t>
  </si>
  <si>
    <t>bxU m¤c`:</t>
  </si>
  <si>
    <t>†gvU Avq Uv:</t>
  </si>
  <si>
    <t>Av‡qi LvZmg~nt</t>
  </si>
  <si>
    <t>wbqwgZ Dr‡mi Avq</t>
  </si>
  <si>
    <t>Ki cwiMYbv</t>
  </si>
  <si>
    <t xml:space="preserve">163 aviv e¨ZxZ wbqwgZ Dr‡mi Av‡qi Dci AvqKit </t>
  </si>
  <si>
    <t>Avq</t>
  </si>
  <si>
    <t>AvqKi</t>
  </si>
  <si>
    <t>mviPvR©mn wbU Ki`vq:</t>
  </si>
  <si>
    <t>†iqvZ‡hvM¨ Lv‡Z cÖK…Z wewb‡qv‡Mi cwigvY:</t>
  </si>
  <si>
    <t>163 avivi cÖv°wjZ AvqKi (b¨~bZg Ki`vq):</t>
  </si>
  <si>
    <t>Ki †iqvZ:</t>
  </si>
  <si>
    <t>163 avivi AvqKi/(c~‡e©i P‚ovšÍ Ki`vq):</t>
  </si>
  <si>
    <t>†iqvZ c~e©eZ©x AvqKi (wbqwgZ/AbywgZ, b¨~bZg I P‚ovšÍ Ki`vq):</t>
  </si>
  <si>
    <t>†iqvZ cieZ©x AvqKi (wbqwgZ/AbywgZ, b¨~bZg I P‚ovšÍ):</t>
  </si>
  <si>
    <t>we‡qvRb Kiæb:</t>
  </si>
  <si>
    <t xml:space="preserve">     (K) †gvU Dr‡m KwZ©Z Ki (wbqwgZ+163 avivi Ki)</t>
  </si>
  <si>
    <t xml:space="preserve">     (M) wiUv‡b©i mv‡_ 173 avivq cÖ`Ë AvqKi</t>
  </si>
  <si>
    <t xml:space="preserve">     (N) cÖZ¨vc©Y/mgš^q Ki (hw` _v‡K)</t>
  </si>
  <si>
    <t>Uv:</t>
  </si>
  <si>
    <t>cwi‡kvwaZ †gvU AvqKi:</t>
  </si>
  <si>
    <t>Aewkó cÖ‡`q AvqKi:</t>
  </si>
  <si>
    <t>160 Ges 162 avivbymv‡i my`t</t>
  </si>
  <si>
    <t>D³ cv_©‡K¨i Dci cÖ‡hvR¨Zv Abymv‡i my‡`i nvi I cwigvY:</t>
  </si>
  <si>
    <t xml:space="preserve">me©‡kl wbU Ki`vqt </t>
  </si>
  <si>
    <t>৩০ নভেম্বর</t>
  </si>
  <si>
    <t>৩১ ডিসেম্বর</t>
  </si>
  <si>
    <t>Assumed Tax Date:</t>
  </si>
  <si>
    <t>Actual Tax Day</t>
  </si>
  <si>
    <t>AvqKi wba©vi‡Yi ZvwiL:</t>
  </si>
  <si>
    <t>(K_vq:)</t>
  </si>
  <si>
    <t>Kiel© t</t>
  </si>
  <si>
    <t>bs t</t>
  </si>
  <si>
    <t>Ki AÂjwfwËK †KvW</t>
  </si>
  <si>
    <t>আয়কর কোম্পানীসমূহ</t>
  </si>
  <si>
    <t>আয়কর কোম্পানী ব্যতীত</t>
  </si>
  <si>
    <t>অন্যান্য ফি সমূহ</t>
  </si>
  <si>
    <t>৩,চট্টগ্রাম</t>
  </si>
  <si>
    <t>1-1141-০০০১-০১০১</t>
  </si>
  <si>
    <t>১-১১৪১-০০০১-০১১১</t>
  </si>
  <si>
    <t>১-১১৪১-০০০১-১৮৭৬</t>
  </si>
  <si>
    <t>1-1141-0005-০১০১</t>
  </si>
  <si>
    <t>1-1141-0005-0111</t>
  </si>
  <si>
    <t>১-১১৪১-০০০৫-১৮৭৬</t>
  </si>
  <si>
    <t>1-1141-0010-০১০১</t>
  </si>
  <si>
    <t>১-১১৪১-০০১০-০১১১</t>
  </si>
  <si>
    <t>1-1141-0010-১৮৭৬</t>
  </si>
  <si>
    <t>1-1141-0015-০১০১</t>
  </si>
  <si>
    <t>1-1141-0015-০১১১</t>
  </si>
  <si>
    <t>1-1141-0015-18৭৬</t>
  </si>
  <si>
    <t>১-১১৪১-০০২০-০১০১</t>
  </si>
  <si>
    <t>1-1141-0020-0111</t>
  </si>
  <si>
    <t>1-1141-0020-1876</t>
  </si>
  <si>
    <t>1-1141-0025-০১০১</t>
  </si>
  <si>
    <t>1-1141-0025-0111</t>
  </si>
  <si>
    <t>1-1141-0025-187৬</t>
  </si>
  <si>
    <t>1-1141-0030-০১০১</t>
  </si>
  <si>
    <t>1-1141-0030-০১১১</t>
  </si>
  <si>
    <t>১-১১৪১-০০৩০-১৮৭৬</t>
  </si>
  <si>
    <t>1-1141-0035-০১০১</t>
  </si>
  <si>
    <t>1-1141-0035-০১১১</t>
  </si>
  <si>
    <t>1-1141-0035-১৮৭৬</t>
  </si>
  <si>
    <t>1-1141-008০-০১০১</t>
  </si>
  <si>
    <t>1-1141-008০-০১১১</t>
  </si>
  <si>
    <t>1-1141-008০-১৮৭৬</t>
  </si>
  <si>
    <t>1-1141-0085-০১০১</t>
  </si>
  <si>
    <t>1-1141-0085-0111</t>
  </si>
  <si>
    <t>1-1141-0085-১৮৭৬</t>
  </si>
  <si>
    <t>1-1141-0090-০১০১</t>
  </si>
  <si>
    <t>১-১১৪১-০০৯০-০১১১</t>
  </si>
  <si>
    <t>1-1141-009০-১৮৭৬</t>
  </si>
  <si>
    <t>1-1141-0095-০১০১</t>
  </si>
  <si>
    <t>1-1141-0095-01১১</t>
  </si>
  <si>
    <t>1-1141-0095-১৮৭৬</t>
  </si>
  <si>
    <t>1-1141-01০০-০১০১</t>
  </si>
  <si>
    <t>1-1141-0100-01১১</t>
  </si>
  <si>
    <t>1-1141-0100-১৮৭৬</t>
  </si>
  <si>
    <t>1-1141-0105-0১০১</t>
  </si>
  <si>
    <t>1-1141-0105-0১১১</t>
  </si>
  <si>
    <t>1-1141-0105-১৮৭৬</t>
  </si>
  <si>
    <t>1-1141-0110-০১০১</t>
  </si>
  <si>
    <t>১-১১৪১-০১১০-০১১১</t>
  </si>
  <si>
    <t>1-1141-0110-18৭৬</t>
  </si>
  <si>
    <t>1-1141-0040-০১০১</t>
  </si>
  <si>
    <t>১-১১৪১-০০৪০-০১১১</t>
  </si>
  <si>
    <t>১-১১৪১-০০৪০-১৮৭৬</t>
  </si>
  <si>
    <t>1-1141-0045-০১০১</t>
  </si>
  <si>
    <t>1-1141-0045-০১১১</t>
  </si>
  <si>
    <t>1-1141-0045-১৮৭৬</t>
  </si>
  <si>
    <t>1-1141-0050-০১০১</t>
  </si>
  <si>
    <t>১-১১৪১-০০৫০-০১১১</t>
  </si>
  <si>
    <t>১-১১৪১-০০৫০-১৮৭৬</t>
  </si>
  <si>
    <t>1-1141-0135-০১০১</t>
  </si>
  <si>
    <t>1-1141-0135-01১১</t>
  </si>
  <si>
    <t>1-1141-0135-১৮৭৬</t>
  </si>
  <si>
    <t>1-1141-0055-০১০১</t>
  </si>
  <si>
    <t>1-1141-0055-0১১১</t>
  </si>
  <si>
    <t>1-1141-0055-১৮৭৬</t>
  </si>
  <si>
    <t>1-1141-0060-০১০১</t>
  </si>
  <si>
    <t>১-১১৪১-০০৬০-০১১১</t>
  </si>
  <si>
    <t>১-১১৪১-০০৬০-১৮৭৬</t>
  </si>
  <si>
    <t>1-1141-0065-০১০১</t>
  </si>
  <si>
    <t>1-1141-0065-০১১১</t>
  </si>
  <si>
    <t>1-1141-0065-১৮৭৬</t>
  </si>
  <si>
    <t>১-১১৪১-০০৭০-০১০১</t>
  </si>
  <si>
    <t>১-১১৪১-০০৭০-০১১১</t>
  </si>
  <si>
    <t>১-১১৪১-০০৭০-১৮৭৬</t>
  </si>
  <si>
    <t>1-1141-0075-০১০১</t>
  </si>
  <si>
    <t>1-1141-0075-01১১</t>
  </si>
  <si>
    <t>1-1141-0075-১৮৭৬</t>
  </si>
  <si>
    <t>1-1141-0120-0১০১</t>
  </si>
  <si>
    <t>1-1141-0120-0111</t>
  </si>
  <si>
    <t>1-1141-0120-18৭৬৬</t>
  </si>
  <si>
    <t>1-1141-0115-0101</t>
  </si>
  <si>
    <t>1-1141-0115-01১১</t>
  </si>
  <si>
    <t>1-1141-0115-১৮৭৬</t>
  </si>
  <si>
    <t>1-1141-0140-0101</t>
  </si>
  <si>
    <t>১-১১৪১-০১৪০-০১১১</t>
  </si>
  <si>
    <t>1-1141-0140-১৮৭৬</t>
  </si>
  <si>
    <t>1-1141-0130-০১০১</t>
  </si>
  <si>
    <t>1-1141-0130-01১১</t>
  </si>
  <si>
    <t>1-1141-0130-১৮৭৬</t>
  </si>
  <si>
    <t>1-1141-0125-0১০১</t>
  </si>
  <si>
    <t>1-1141-0125-0111</t>
  </si>
  <si>
    <t>1-1141-0125-1৮৭৬</t>
  </si>
  <si>
    <t>১-১১৪৫-০০১০-০১০১</t>
  </si>
  <si>
    <t>1-1145-0010-0111</t>
  </si>
  <si>
    <t>1-1145-0010-18৭৬</t>
  </si>
  <si>
    <t>১-১১৪৫-০০০৫-০১০১</t>
  </si>
  <si>
    <t>1-1145-0005-01১১</t>
  </si>
  <si>
    <t>১-১১৪৫-০০০৫-১৮৭৬</t>
  </si>
  <si>
    <t>1-1143-0015-১৮৭৬</t>
  </si>
  <si>
    <t>১-১১৪৩-০০০১-১৮৭৬</t>
  </si>
  <si>
    <t>১-১১৪৩-০০০৫-১৮৭৬</t>
  </si>
  <si>
    <t>1-1143-0010-১৮৭৬</t>
  </si>
  <si>
    <t>1-1143-0035-1876</t>
  </si>
  <si>
    <t>১-১১৪৩-০০৪0-1876</t>
  </si>
  <si>
    <t>Avwcj †iÄ</t>
  </si>
  <si>
    <t>কর অঞ্চল</t>
  </si>
  <si>
    <t>কর আপিল অঞ্চল</t>
  </si>
  <si>
    <t>82C (Min Tax Calculation)</t>
  </si>
  <si>
    <t>Difference</t>
  </si>
  <si>
    <t>DcKi Kwgkbv‡ii Kvh©vjq</t>
  </si>
  <si>
    <t>152/154 avivq AwMÖg AvqKi</t>
  </si>
  <si>
    <t>153 avivq Mvwoi AvqKi</t>
  </si>
  <si>
    <t>152/154 AwMÖg Ki</t>
  </si>
  <si>
    <t xml:space="preserve">     (L) 152/154/153 avivq AwMÖg AvqKi cwi‡kva</t>
  </si>
  <si>
    <r>
      <rPr>
        <b/>
        <sz val="12"/>
        <rFont val="Times New Roman"/>
        <family val="1"/>
      </rPr>
      <t xml:space="preserve">BRTA </t>
    </r>
    <r>
      <rPr>
        <b/>
        <sz val="12"/>
        <rFont val="SutonnyMJ"/>
      </rPr>
      <t xml:space="preserve">Mvwoi U¨v· wn‡m‡e aviYvMZ AvqKi </t>
    </r>
  </si>
  <si>
    <t>*153(6) avivbymv‡i Mvwoi U¨v· we‡ePbvq aviYvMZ</t>
  </si>
  <si>
    <t>aviYvMZ AvqKi (wbqwgZ Dr‡mi)</t>
  </si>
  <si>
    <t>†iqvZ c~e©eZ©x AvqKi (wbqwgZ/aviYvMZ+ b¨~bZg)</t>
  </si>
  <si>
    <t>†iqvZ cieZ©x (wbqwgZ/aviYvMZ+AwZt b¨~bZg Ki`vq)</t>
  </si>
  <si>
    <t>b¨~bZg Ki cwi‡kva</t>
  </si>
  <si>
    <t>†iqvZ cieZ©x AvqKi (wbqwgZ/aviYvMZ+ b¨~bZg)</t>
  </si>
  <si>
    <t>†iqvZ cieZ©x AvqKi (wbqwgZ/aviYvMZ+ b¨~bZg+P‚ovšÍ)</t>
  </si>
  <si>
    <t>2016-17</t>
  </si>
  <si>
    <t>2018-19</t>
  </si>
  <si>
    <t>2019-20</t>
  </si>
  <si>
    <t>2022-2023</t>
  </si>
  <si>
    <t>2026-27</t>
  </si>
  <si>
    <t>2027-28</t>
  </si>
  <si>
    <t>2028-29</t>
  </si>
  <si>
    <t>2029-30</t>
  </si>
  <si>
    <t>Actual T2</t>
  </si>
  <si>
    <t>Upto Return Submission, t1</t>
  </si>
  <si>
    <t>Delay Rate</t>
  </si>
  <si>
    <t>Actual/Round Fig (Months)</t>
  </si>
  <si>
    <t>1st Slab</t>
  </si>
  <si>
    <t>2nd Slab</t>
  </si>
  <si>
    <t>Slab</t>
  </si>
  <si>
    <t>3rd Slab</t>
  </si>
  <si>
    <t>4th Slab</t>
  </si>
  <si>
    <t>5th Slab</t>
  </si>
  <si>
    <t>Aewkó</t>
  </si>
  <si>
    <t>8000 et dzt evwo/GKvwaK Mvwo</t>
  </si>
  <si>
    <t>cwi‡ek mviPvR©</t>
  </si>
  <si>
    <t>অতিরিক্ত যাতায়াত ভাতা</t>
  </si>
  <si>
    <t>উৎসব বোনাস, ইত্যাদি</t>
  </si>
  <si>
    <t>উৎসাহ বোনাস/ ইনসেনটিভস ইত্যাদি</t>
  </si>
  <si>
    <t>নববর্ষ ভাতা, শ্রান্তি বিনোদন/অন্যান্য ভাতা</t>
  </si>
  <si>
    <t>উৎসব/উৎসাহ বোনাস/অন্যান্য ইত্যাদি</t>
  </si>
  <si>
    <t>বাড়ি ভাড়া ভাতা</t>
  </si>
  <si>
    <t>আবাসন সুবিধা</t>
  </si>
  <si>
    <t>ভ্রমণ ভাতা (দেশে/বিদেশে)</t>
  </si>
  <si>
    <t>অন্যান্য আর্থিক সুবিধা/ভাতা সমূহ ইত্যাদি</t>
  </si>
  <si>
    <t>আপ্যায়ন ভাতা, ইত্যাদি</t>
  </si>
  <si>
    <t>(33 avivi Avq)</t>
  </si>
  <si>
    <t>ওভারটাইম/কমিশন/অন্য কোন পারকুইজিট</t>
  </si>
  <si>
    <t>মূল বেতন/মজুরি/পারিশ্রমিক ইত্যাদি</t>
  </si>
  <si>
    <t>বকেয়া বেতন/অগ্রিম বেতন, ইত্যাদি</t>
  </si>
  <si>
    <t>বেতন/মজুরির পরিবর্তে প্রাপ্তি, ইত্যাদি</t>
  </si>
  <si>
    <t>অনুমোদিত ভবিষ্য তহবিলে নিয়োগকর্তা প্রদত্ত চাঁদা</t>
  </si>
  <si>
    <t>বেতন (মূল/বকেয়া/অগ্রিম/অন্যান্য)</t>
  </si>
  <si>
    <t>cÖ`wk©Z/cÖK…Z Avq</t>
  </si>
  <si>
    <r>
      <t>163 avivi AvqKi</t>
    </r>
    <r>
      <rPr>
        <i/>
        <sz val="12"/>
        <rFont val="SutonnyMJ"/>
      </rPr>
      <t xml:space="preserve"> (mÂqc‡Îi gybvdv BZ¨vw`)</t>
    </r>
    <r>
      <rPr>
        <sz val="12"/>
        <rFont val="SutonnyMJ"/>
      </rPr>
      <t xml:space="preserve">/(P‚ovšÍ Ki`vq) </t>
    </r>
  </si>
  <si>
    <t>Individual</t>
  </si>
  <si>
    <t>Trust</t>
  </si>
  <si>
    <t>Funds</t>
  </si>
  <si>
    <t>AJP (previous)</t>
  </si>
  <si>
    <t>Hindu Undivided Family</t>
  </si>
  <si>
    <t>Local Authority</t>
  </si>
  <si>
    <t>Educational Institution</t>
  </si>
  <si>
    <t>AOB</t>
  </si>
  <si>
    <t>Society/Co-Operative S.</t>
  </si>
  <si>
    <t>Insurance</t>
  </si>
  <si>
    <t>N.G.O.</t>
  </si>
  <si>
    <t>MPO Schools</t>
  </si>
  <si>
    <t>Govt. Universities</t>
  </si>
  <si>
    <t>Govt/Autonomous Org</t>
  </si>
  <si>
    <t>Business Institutions/Org.</t>
  </si>
  <si>
    <t>স্থানীয় খুচরা বিক্রয়লব্ধ আয় (১৬৩ ধারার আয় ব্যতিত)</t>
  </si>
  <si>
    <t>&lt;= ২.২৫ কোটি</t>
  </si>
  <si>
    <t>২.২৫ ~ ৫ কোটি</t>
  </si>
  <si>
    <t>৫ ~ ১০ কোটি</t>
  </si>
  <si>
    <t>১০ ~ ১৫ কোটি</t>
  </si>
  <si>
    <t>১৫ ~ ২০ কোটি</t>
  </si>
  <si>
    <t>&gt; ২০ কোটি</t>
  </si>
  <si>
    <t>৩ ~ ৫ কোটি</t>
  </si>
  <si>
    <t>&lt;= ৪ কোটি</t>
  </si>
  <si>
    <t>৪ ~ ১০ কোটি</t>
  </si>
  <si>
    <t>--</t>
  </si>
  <si>
    <t>Min Surcharge</t>
  </si>
  <si>
    <t>Min Surcharge /-</t>
  </si>
  <si>
    <t>730 - t1</t>
  </si>
  <si>
    <t>Real Interest</t>
  </si>
  <si>
    <t>Delay Interest rate</t>
  </si>
  <si>
    <t>Real Delay Int.</t>
  </si>
  <si>
    <t>Submission/Assessment Date Unreal</t>
  </si>
  <si>
    <t>160 Ges 162 avivq my` (‡hvM)</t>
  </si>
  <si>
    <t>cwi‡ek mviPvR© (‡hvM)</t>
  </si>
  <si>
    <t>.</t>
  </si>
  <si>
    <t>Dchy©³ wel‡qi cÖwZ Avcbvi `„wó AvKl©Y KiwQ|</t>
  </si>
  <si>
    <r>
      <t>2.  DwjøwLZ MvwYwZK ÎæwU/Aï× `vwe ms‡kvab K‡i, Avcbvi cÖ`wk©Z Avq I cÖ‡`q AvqKi I Ab¨vb¨ cwigvY AsK Ges AÎ Kvh©vjq KZ©…K wbiƒwcZ Avq I cÖ‡`q AvqKi I Ab¨vb¨ cwigvY As‡Ki wnmv‡ei "cwiMYbv cÎ (</t>
    </r>
    <r>
      <rPr>
        <b/>
        <sz val="11"/>
        <rFont val="Times New Roman"/>
        <family val="1"/>
      </rPr>
      <t>Sheet of Computation</t>
    </r>
    <r>
      <rPr>
        <sz val="12"/>
        <rFont val="SutonnyMJ"/>
      </rPr>
      <t>)" GB †bvwU‡ki mv‡_ mshy³ Av‡Q|</t>
    </r>
  </si>
  <si>
    <t>Ki cwi‡kva †KvWt</t>
  </si>
  <si>
    <t>wbqwgZ ‡gvU Avq (163 Avq e¨wZZ)</t>
  </si>
  <si>
    <t>1.50 †KvwU</t>
  </si>
  <si>
    <t>1.00 †KvwU</t>
  </si>
  <si>
    <t>10 j¶</t>
  </si>
  <si>
    <t>me‡P‡q †QvU</t>
  </si>
  <si>
    <t>2nd Rate</t>
  </si>
  <si>
    <t>Aby‡gvw`Z wewb‡qvM</t>
  </si>
  <si>
    <t>After Tax Day</t>
  </si>
  <si>
    <t>162 avivq my` nvi (%)</t>
  </si>
  <si>
    <t>Return Submit</t>
  </si>
  <si>
    <t>Assessment Date</t>
  </si>
  <si>
    <t>Rebate</t>
  </si>
  <si>
    <t>Elligible Investment: Total Income x(20% or 25% or 3%)</t>
  </si>
  <si>
    <t>Others (individual)</t>
  </si>
  <si>
    <t>Ki`vZvi cÖK…wZ</t>
  </si>
  <si>
    <t>Trunover Tax</t>
  </si>
  <si>
    <t>Trunover Tax (N/A)</t>
  </si>
  <si>
    <t>Gross Receipt/Sales:</t>
  </si>
  <si>
    <t>Tax Rate</t>
  </si>
  <si>
    <t>U/S 163(2),(4) Tax</t>
  </si>
  <si>
    <t>(ব্যক্তিগত ব্যবহারে) গাড়ির সুবিধা ভাতা</t>
  </si>
  <si>
    <t>চিকিৎসা ভাতা/পারকুইজিট ইত্যাদি</t>
  </si>
  <si>
    <t>(80 avivi Avq)</t>
  </si>
  <si>
    <t>(cÂg Aa¨v‡qi Avq)</t>
  </si>
  <si>
    <t>বেতন অপ্রযোজ্য</t>
  </si>
  <si>
    <r>
      <t>বেতন-ভাতা</t>
    </r>
    <r>
      <rPr>
        <sz val="10"/>
        <color theme="1" tint="0.499984740745262"/>
        <rFont val="Times New Roman"/>
        <family val="1"/>
      </rPr>
      <t xml:space="preserve"> (Yes)</t>
    </r>
  </si>
  <si>
    <t>U/S 174</t>
  </si>
  <si>
    <t>Salary</t>
  </si>
  <si>
    <t>Input</t>
  </si>
  <si>
    <t>wbqwgZ Drm n‡Z ‡gvU Avq</t>
  </si>
  <si>
    <t>Firm/AOP/Simillar</t>
  </si>
  <si>
    <t>ব্যক্তিসংঘ/ফার্মের করারোপিত শেয়ার আয়</t>
  </si>
  <si>
    <t>wbqwgZ ‡gvU Av‡qi Rb¨ †iqvZ</t>
  </si>
  <si>
    <t>Kiv‡ivwcZ Av‡qi Mo nv‡i Ki`vq (80 avivq)</t>
  </si>
  <si>
    <t>(Taxed Income)</t>
  </si>
  <si>
    <t>e¨w³msN/dv‡g©i Av‡qi Rb¨ Ki Ae¨vnwZ</t>
  </si>
  <si>
    <t>cwi‡ek mviPvR© (AcÖ‡hvR¨)</t>
  </si>
  <si>
    <t>PvKwi n‡Z bxU Ki‡hvM¨ Avq</t>
  </si>
  <si>
    <t>Gross Salary</t>
  </si>
  <si>
    <t>Tax Exempted</t>
  </si>
  <si>
    <t>Net Salary</t>
  </si>
  <si>
    <t>নতুন করদাতা</t>
  </si>
  <si>
    <t>New Tax Payee</t>
  </si>
  <si>
    <t>AvB.wU-30</t>
  </si>
  <si>
    <t>Normal Return Last Day</t>
  </si>
  <si>
    <t>০১ জানুয়ারী</t>
  </si>
  <si>
    <t>স্বনির্ধারণী</t>
  </si>
  <si>
    <t>Assumed Tax Day</t>
  </si>
  <si>
    <t>Tax Date</t>
  </si>
  <si>
    <t>Tax Date (new)</t>
  </si>
  <si>
    <t>৩০ জুন</t>
  </si>
  <si>
    <t>174 Delay Interest Charge</t>
  </si>
  <si>
    <t>Delay Interst Difference</t>
  </si>
  <si>
    <t>if U/S 174 aply</t>
  </si>
  <si>
    <t>174 avivbymv‡i</t>
  </si>
  <si>
    <t xml:space="preserve"> </t>
  </si>
  <si>
    <t>No</t>
  </si>
  <si>
    <t>Yes</t>
  </si>
  <si>
    <t>Salary Input Year Based</t>
  </si>
  <si>
    <t>dv‡g©i Rb¨ Ki Ae¨vnwZ</t>
  </si>
  <si>
    <t>mv‡K©j aiY</t>
  </si>
  <si>
    <t>Ki AÂj</t>
  </si>
  <si>
    <t>c~e©eZ©x Kie‡l© D™¢‚Z cÖZ¨vc©Y/mgš^q Ki</t>
  </si>
  <si>
    <t>MicS Input</t>
  </si>
  <si>
    <t>K_vqt</t>
  </si>
  <si>
    <t>cwi‡kva‡hvM¨ Kit</t>
  </si>
  <si>
    <t>Return's Output</t>
  </si>
  <si>
    <t>†gvU Dr‡m KwZ©Z Ki (wbqwgZ + 163 aviv)</t>
  </si>
  <si>
    <t>Ki`vq †hvM/mgš^q</t>
  </si>
  <si>
    <t>Ki`vq we‡qvRb</t>
  </si>
  <si>
    <t xml:space="preserve">(cÖ‡hvR¨ †¶‡Î) cwi‡ek mviPvR©t  </t>
  </si>
  <si>
    <t xml:space="preserve">Rwigvbv/214(4) avivq my`/Ab¨vb¨ Ki`vqt  </t>
  </si>
  <si>
    <t>Income's Data</t>
  </si>
  <si>
    <t>†dvbt</t>
  </si>
  <si>
    <t>Kg©KZ©vi bvgt</t>
  </si>
  <si>
    <t>c`ext</t>
  </si>
  <si>
    <t>I‡qemvBU/mvf©vi wjsKt</t>
  </si>
  <si>
    <t>wewea †bvwUk/ ïbvbxi Rb¨ mgq</t>
  </si>
  <si>
    <t>Easy-Peasy Tax</t>
  </si>
  <si>
    <t xml:space="preserve">Avcwb AvqKi AvBb, 2023 Gi Aax‡b wiUvb© `vwLj Kwiqv‡Qb, †mB cÖm‡½ AviI wKQz Z_¨ cÖ‡qvRb| </t>
  </si>
  <si>
    <t xml:space="preserve">wjwLZfv‡e ¶gZvcÖvß †Kvb Aby‡gvw`Z cÖwZwbwa Dcw¯’Z nBqv wbgœ¯^v¶iKvixi wbKU AvqKi wiUvb© mswkøó `wjjcÎ, wnmv‡ei </t>
  </si>
  <si>
    <t>LvZv I Ab¨vb¨ cÖgvYvw` †ck Kivi Rb¨ Aby‡iva Rvbv‡bv nBj|</t>
  </si>
  <si>
    <t xml:space="preserve">GB †bvwUk cwicvj‡b e¨_© nB‡j AvqKi AvBb, 2023 Gi 184 aviv Abyhvqx GKZidvfv‡e Ki wba©viY Kiv hvB‡Z cv‡i Ges </t>
  </si>
  <si>
    <t>D³ AvB‡bi 270 aviv Abyhvqx Rwigvbv Av‡iv‡ci weavb iwnqv‡Q|</t>
  </si>
  <si>
    <t>AvqKi AvBb, 2023 Gi aviv 183 (3) Abyhvqx †bvwUk</t>
  </si>
  <si>
    <t>‡h‡nZz DcwiD³ Kie‡l©i AvqKi avh© cÖm‡½ AvqKi AvBb, 2023 Gi aviv 166, 175 ev 176 Abyhvqx</t>
  </si>
  <si>
    <t>AvqKi AvBb, 2023 Gi aviv 179 Abyhvqx †bvwUk</t>
  </si>
  <si>
    <t>AvB.wU-86 (2023)</t>
  </si>
  <si>
    <t>AvB.wU-13 (2023)</t>
  </si>
  <si>
    <r>
      <t xml:space="preserve">Avcwb GKLvwb AvqKi wiUvb©`vwLj Kwiqv‡Qb/ aviv 172 ev 212 Abyhvqx </t>
    </r>
    <r>
      <rPr>
        <sz val="13"/>
        <color theme="1"/>
        <rFont val="Times New Roman"/>
        <family val="1"/>
      </rPr>
      <t>…......................</t>
    </r>
    <r>
      <rPr>
        <sz val="13"/>
        <color theme="1"/>
        <rFont val="SutonnyMJ"/>
      </rPr>
      <t xml:space="preserve"> wL&amp;ª. ZvwiL hy³ GKwU</t>
    </r>
  </si>
  <si>
    <r>
      <t xml:space="preserve">†bvwUk </t>
    </r>
    <r>
      <rPr>
        <sz val="13"/>
        <color theme="1"/>
        <rFont val="Times New Roman"/>
        <family val="1"/>
      </rPr>
      <t>….....................</t>
    </r>
    <r>
      <rPr>
        <sz val="13"/>
        <color theme="1"/>
        <rFont val="SutonnyMJ"/>
      </rPr>
      <t xml:space="preserve"> Zvwi‡L Avcbvi Dci Rvix Kiv nBqv‡Q, D³ AvB‡bi aviv 179 Abyhvqx Avcbv‡K</t>
    </r>
  </si>
  <si>
    <t>wb¤œewY©Z wnmve ewn/`wjjvw` `vwLj Kwi‡eb|</t>
  </si>
  <si>
    <t>GB †bvwUk cwicvj‡b e¨_© nB‡j AvqKi AvBb,2023 Gi aviv 270 Abyhvqx Rwigvbv Av‡iv‡ci weavb</t>
  </si>
  <si>
    <t>iwnqv‡Q|</t>
  </si>
  <si>
    <t>wnmve ewn/`wjjvw`i weeiYt</t>
  </si>
  <si>
    <t xml:space="preserve">     wb¤œ¯^vÿiKvixi wek¦vm Kwievi KviY iwnqv‡Q †h, wb¤œewY©Z Dcv‡q Dchy©³ Ki`vZv KZ…©K aviv 212(9) Abyhvqx cÖ‡`q Ki</t>
  </si>
  <si>
    <t xml:space="preserve">     I Ab¨vb¨ A¼ cwi‡kva GovBqv hvIqv nBqv‡Q:</t>
  </si>
  <si>
    <t xml:space="preserve">      ........................................................................................................................</t>
  </si>
  <si>
    <t>AvqKi AvBb, 2023 Gi aviv 172 Abyhvqx †bvwUk</t>
  </si>
  <si>
    <t>AvB.wU-10 (2023)</t>
  </si>
  <si>
    <t xml:space="preserve">         Avqe‡l©i hveZxq Av‡qi weeiY I mswkøó Ab¨vb¨ Z_¨vw`mn AvqKi wiUvb© dig c~iY Kwiqv</t>
  </si>
  <si>
    <t xml:space="preserve">           `ß‡i `vwLj Kwievi Rb¨ Aby‡iva Rvbv‡bv hvB‡Z‡Q|</t>
  </si>
  <si>
    <r>
      <t xml:space="preserve">     3) wiUvb© dig RvZxq ivR¯^ †ev‡W©i I‡qemvBU </t>
    </r>
    <r>
      <rPr>
        <sz val="12"/>
        <color theme="1"/>
        <rFont val="Times New Roman"/>
        <family val="1"/>
      </rPr>
      <t>www.nbr.gov.bd</t>
    </r>
    <r>
      <rPr>
        <sz val="13"/>
        <color theme="1"/>
        <rFont val="SutonnyMJ"/>
      </rPr>
      <t xml:space="preserve"> Ges †h †Kvb AvqKi Awdm nB‡Z</t>
    </r>
  </si>
  <si>
    <t xml:space="preserve">           msMÖn Kiv hvB‡e| wiUvb© dig c~iY Kwievi wbqgvejx D³ di‡gB D‡jøL iwnqv‡Q|</t>
  </si>
  <si>
    <t xml:space="preserve">     4) GB †bvwUk Abymv‡i wiUvb© `vwL‡j e¨_© nB‡j AvqKi AvBb, 2023 Gi aviv 184 Abyhvqx</t>
  </si>
  <si>
    <t xml:space="preserve">          GKZidvfv‡e Ki wba©viY Kivi eva¨evaKZv iwnqv‡Q| Zvnv Qvov D³ AvB‡bi aviv 266 Abyhvqx</t>
  </si>
  <si>
    <t xml:space="preserve">           Rwigvbv Av‡iv‡ci weavb iwnqv‡Q| </t>
  </si>
  <si>
    <t xml:space="preserve">           Kie‡l©i wiUvb© `vwLj K‡ib bvB ewjqv cÖZxqgvb nq|</t>
  </si>
  <si>
    <t xml:space="preserve">      2) AvqKi AvBb, 2023 Gi aviv 172 Gi kZ©vbymv‡i Avcbv‡K GZØviv DwjøwLZ Kie‡l©i mswkøó </t>
  </si>
  <si>
    <t xml:space="preserve">     1| Ki wba©vi‡Yi wfwË‡Z cÖ‡`q K‡ii 75% </t>
  </si>
  <si>
    <t xml:space="preserve">     2| 152, 154 ev 153 avivbymv‡i cÖ`Ë Ki </t>
  </si>
  <si>
    <t xml:space="preserve">     3| Dr‡m AvqKi cwi‡kva                        </t>
  </si>
  <si>
    <t xml:space="preserve">     4| 1 n‡Z (2) I (3) Gi †hvMd‡ji cv_©K¨ </t>
  </si>
  <si>
    <t>Ki †iqvZ t</t>
  </si>
  <si>
    <t xml:space="preserve">      †eZb weeiYx/cÖZ¨qbcÎ/Ab¨vb¨;</t>
  </si>
  <si>
    <t xml:space="preserve">      e¨vsK wnmve weeiYx/e¨vsK mgš^q weeiYx;</t>
  </si>
  <si>
    <t xml:space="preserve">      wej/fvDPvivw`;</t>
  </si>
  <si>
    <t xml:space="preserve">      Dr‡m KZ©b‡hvM¨ Li‡Pi Dci, Ki KZ©‡bi cÖgvYvw`;</t>
  </si>
  <si>
    <t xml:space="preserve">      evox fvovi Pzw³cÎ/e¨vsK Rgvi cÖgvY;</t>
  </si>
  <si>
    <t xml:space="preserve">      Avg`vbx e¨emvi ¯^c‡¶ wej Ad Gw›Uª, wej Ad G‡mm‡g‡›Ui Kwc BZ¨vw`|</t>
  </si>
  <si>
    <t xml:space="preserve">      Ab¨vb¨ Av‡qi mg_©‡b cÖgvYvw`|</t>
  </si>
  <si>
    <t>AvqKi AvBb, 2023 Gi aviv 280 Abyhvqx †bvwUk</t>
  </si>
  <si>
    <t>AvB.wU-124 (2023)</t>
  </si>
  <si>
    <t>.................................................................................</t>
  </si>
  <si>
    <t>AÎ Kvh©vj‡qi †iKW© †gvZv‡eK</t>
  </si>
  <si>
    <t>1) Avcwb AvqKi AvBb, 2023 Gi aviv ................................ Abyhvqx</t>
  </si>
  <si>
    <t>K) AvqKi  wiUvb©/Dr‡m K‡ii wiUvb© `vwLj Kwi‡Z e¨_© nBqv‡Qb;</t>
  </si>
  <si>
    <t>L) mswkøó Kie‡l©i Rb¨ cÖ‡`q cÖZ¨qbcÎ/wee„wZ/wnmv‡ei LvZvcÎ A_ev Z_¨vw` `vwLj/wba©vwiZ c×wZ‡Z msiÿY Kwi‡Z e¨_©</t>
  </si>
  <si>
    <t>nBqv‡Qb;</t>
  </si>
  <si>
    <t>M) mswkøó Kie‡l©i Rb¨ AwMÖg Ki cÖ`v‡b e¨_© nBqv‡Qb/AwMÖg K‡ii AmZ¨ cÖv°jb Dc¯’vcb Kwiqv‡Qb;</t>
  </si>
  <si>
    <t xml:space="preserve">N) mswkøó Kie‡l©i Rb¨ †cÖwiZ ‡bvwU‡ki kZ© cwicvjb Kwi‡Z e¨_© nBqv‡Qb/†bvwUk Agvb¨ Kwiqv‡Qb; </t>
  </si>
  <si>
    <t>O) mswkøó Kie‡l©i Rb¨ wiUv‡b©i wfwË‡Z cÖ‡`q Ki cwi‡kva Kwi‡Z e¨_© nBqv‡Qb;</t>
  </si>
  <si>
    <t xml:space="preserve">P) mswkøó Kie‡l©i Rb¨ cÖ‡`q As‡Ki Ki cwi‡kva GovBqv wMqv‡Qb/dvuwK w`qv‡Qb; </t>
  </si>
  <si>
    <t>Q) Avgm© †js_ cÖvBm cwiMYbvi weavb cwicvjb Kwi‡Z e¨_© nBqv‡Qb;</t>
  </si>
  <si>
    <t>R) AvšÍR©vwZK †jb‡`‡bi †ÿ‡Î Z_¨, `wjjvw` I †iKW© msiÿY I iÿYv‡eÿY ev mieivn Kwi‡Z e¨_© nBqv‡Qb;</t>
  </si>
  <si>
    <t>S) AvšÍR©vwZK †jb‡`b m¤úwK©Z weeiYx/AvšÍR©vwZK †jb‡`b m¤úwK©Z PvU©vW© G¨vKvD‡›U›U nB‡Z cÖwZ‡e`b `vwL‡j e¨_© nBqv‡Qb;</t>
  </si>
  <si>
    <t>T).......................................................................... cwicvjb Kwi‡Z e¨_© nBqv‡Qb;</t>
  </si>
  <si>
    <t>U) Ab¨vb¨......................................................................................................|</t>
  </si>
  <si>
    <t>2) Avcwb,</t>
  </si>
  <si>
    <t>AbymiY Kivi cÖZ¨qb Kiv nq bvB;</t>
  </si>
  <si>
    <t>M) Ki cwi‡kv‡a †Ljvcx nBqv‡Qb;</t>
  </si>
  <si>
    <t>N) Ab¨vb¨......................................................................................................|</t>
  </si>
  <si>
    <t xml:space="preserve">wjwLZfv‡e ¶gZvcÖvß Aby‡gvw`Z cÖwZwbwa‡K wbæ¯^v¶iKvixi Awd‡m ïbvbx‡Z Dcw¯’Z nB‡Z Aby‡iva Kiv hvB‡Z‡Q| </t>
  </si>
  <si>
    <r>
      <t>K) Rvj (</t>
    </r>
    <r>
      <rPr>
        <sz val="11"/>
        <color theme="1"/>
        <rFont val="Times New Roman"/>
        <family val="1"/>
      </rPr>
      <t>fake</t>
    </r>
    <r>
      <rPr>
        <sz val="11"/>
        <color theme="1"/>
        <rFont val="SutonnyMJ"/>
      </rPr>
      <t>) wUAvBGb e¨envi Kwiqv‡Qb/Rvj wbixÿv cÖwZ‡e`b cÖYqb/`vwLj Kwiqv‡Qb;</t>
    </r>
  </si>
  <si>
    <r>
      <t xml:space="preserve">L) AmZ¨ A_ev Aï× wbixwÿZ wnmve weeiYx cÖbqb/`vwLj Kwiqv‡Qb/ PvU©vW© G¨vKvD‡›U›U KZ©„K </t>
    </r>
    <r>
      <rPr>
        <sz val="11"/>
        <color theme="1"/>
        <rFont val="Times New Roman"/>
        <family val="1"/>
      </rPr>
      <t xml:space="preserve">IAS, IFRS </t>
    </r>
    <r>
      <rPr>
        <sz val="11"/>
        <color theme="1"/>
        <rFont val="SutonnyMJ"/>
      </rPr>
      <t>I</t>
    </r>
    <r>
      <rPr>
        <sz val="11"/>
        <color theme="1"/>
        <rFont val="Times New Roman"/>
        <family val="1"/>
      </rPr>
      <t xml:space="preserve"> ISA</t>
    </r>
  </si>
  <si>
    <t>GZØviv Avcbv‡K AvqKi AvBb, 2023 Gi aviv ........... Abyhvqx †Kb Rwigvbv Av‡ivc Kiv nB‡e bv Zvnvi KviY</t>
  </si>
  <si>
    <t>Circle Office Data</t>
  </si>
  <si>
    <t>Tax Credits &amp; Refund (Input)</t>
  </si>
  <si>
    <t xml:space="preserve">mv‡K©‡ji wVKvbvt </t>
  </si>
  <si>
    <t>Appeal Zone Input</t>
  </si>
  <si>
    <t>Salary Data Input</t>
  </si>
  <si>
    <t>Taxes &amp; Charges</t>
  </si>
  <si>
    <t>Minimum Tax Data</t>
  </si>
  <si>
    <t>Return's Data Input</t>
  </si>
  <si>
    <t xml:space="preserve">†bvwUk/dg©/wewea dg© wcÖ›U </t>
  </si>
  <si>
    <t>hZ †ewk AwMÖg Ki,
Kg‡e mij my‡`i Wi !</t>
  </si>
  <si>
    <t>1. †Kej mv`v Kvjv‡ii N‡i WvUv BbcyU Kiv hv‡e|</t>
  </si>
  <si>
    <t>2. A¨vKzq¨v Kvjv‡ii Ni¸‡jv‡Z, Wªc-WvDb K‡i wm‡j± Kiæb|</t>
  </si>
  <si>
    <t>Mr. Potter</t>
  </si>
  <si>
    <t>wiUv‡b©i aiY *</t>
  </si>
  <si>
    <t>সাধারণ (বিলম্ব সুদ)</t>
  </si>
  <si>
    <t>Delay Int (&gt;= 0)</t>
  </si>
  <si>
    <t>Difference(174 Tax)</t>
  </si>
  <si>
    <t>174 Section before 2023-24</t>
  </si>
  <si>
    <t>Income Tax Act, 2023 Enacts</t>
  </si>
  <si>
    <t>Income Tax Act, 2023 Enacts:</t>
  </si>
  <si>
    <t>পুরষ্কার/নগদ প্রাপ্তি/সমমান সুবিধাদি (করমুক্ত)</t>
  </si>
  <si>
    <t>174 Apply</t>
  </si>
  <si>
    <t>Old/New 174</t>
  </si>
  <si>
    <t>Dealy Intrst (82BB/Normal)</t>
  </si>
  <si>
    <t>163 avivi Avq</t>
  </si>
  <si>
    <t>wiUv‡b©i aiY</t>
  </si>
  <si>
    <t>evwo/Mvwo/wbU cwim¤c` mviPvR© (‡hvM):</t>
  </si>
  <si>
    <t>160 Ges 162 avivq my`</t>
  </si>
  <si>
    <t>Rwigvbv/214(4) avivq my`/Ab¨vb¨ Ki`vq</t>
  </si>
  <si>
    <t>cÖZ¨vc©Y/mgš^q Ki (ev`)</t>
  </si>
  <si>
    <t>Final Delay Int.</t>
  </si>
  <si>
    <r>
      <t xml:space="preserve">180(1)/181(2)/181(3)(M) </t>
    </r>
    <r>
      <rPr>
        <b/>
        <sz val="13"/>
        <color rgb="FF000000"/>
        <rFont val="SutonnyMJ"/>
      </rPr>
      <t>[wiUvb© cÖ‡mm]</t>
    </r>
  </si>
  <si>
    <r>
      <t xml:space="preserve">3. </t>
    </r>
    <r>
      <rPr>
        <b/>
        <sz val="11"/>
        <color theme="3" tint="-0.499984740745262"/>
        <rFont val="Times New Roman"/>
        <family val="1"/>
      </rPr>
      <t>Tan color</t>
    </r>
    <r>
      <rPr>
        <b/>
        <sz val="11"/>
        <color theme="3" tint="-0.499984740745262"/>
        <rFont val="SutonnyMJ"/>
      </rPr>
      <t xml:space="preserve"> Gi</t>
    </r>
    <r>
      <rPr>
        <b/>
        <sz val="11"/>
        <color theme="1"/>
        <rFont val="SutonnyMJ"/>
      </rPr>
      <t xml:space="preserve"> Ni AcwieZ©bxq| </t>
    </r>
  </si>
  <si>
    <t xml:space="preserve">        Sheet of Computation</t>
  </si>
  <si>
    <t>wewea †bvwUk/dg©</t>
  </si>
  <si>
    <t xml:space="preserve">       wiUvb© cÖ‡mm †bvwUk</t>
  </si>
  <si>
    <t xml:space="preserve">       AvB.wU.-15 (wiUvb© cÖ‡mm)	</t>
  </si>
  <si>
    <t xml:space="preserve">       Ki cwiMYbv cÎ (AvB.wU.-30)</t>
  </si>
  <si>
    <t xml:space="preserve">       wWgvÛ †bvwUk (AvB.wU.-15)	</t>
  </si>
  <si>
    <t xml:space="preserve">        183(3) avivq ïbvbxi †bvwUk</t>
  </si>
  <si>
    <t xml:space="preserve">        179 avivi †bvwUk</t>
  </si>
  <si>
    <t xml:space="preserve">        172 avivi †bvwUk (AvB.wU.-10)</t>
  </si>
  <si>
    <t xml:space="preserve">        212 avivq cybtD‡b¥vPb †bvwUk </t>
  </si>
  <si>
    <t xml:space="preserve">        280 avivi Rwigvbvi †bvwUk	</t>
  </si>
  <si>
    <t>A¨v‡mm‡g›U wi‡j‡UW †bvwUk/dg©</t>
  </si>
  <si>
    <r>
      <t xml:space="preserve">      ....</t>
    </r>
    <r>
      <rPr>
        <b/>
        <sz val="12"/>
        <color theme="1"/>
        <rFont val="SutonnyMJ"/>
      </rPr>
      <t xml:space="preserve">1| cybt D‡b¥vP‡bi KviYmg~‡ni AewnZKiYcÎ mshy³| </t>
    </r>
    <r>
      <rPr>
        <sz val="12"/>
        <color theme="1"/>
        <rFont val="SutonnyMJ"/>
      </rPr>
      <t>...........................................</t>
    </r>
  </si>
  <si>
    <t>ZvwiL:</t>
  </si>
  <si>
    <t>b~¨bZg Ki cwiMYbvt-</t>
  </si>
  <si>
    <t>(K) wbqwgZ Dr‡mi Avq</t>
  </si>
  <si>
    <t xml:space="preserve">wbqwgZ Dr‡mi Rb¨ Ki`vq                                       </t>
  </si>
  <si>
    <t>(L) Avg`vbx I mievn e¨emv‡qi Rb¨ Ki`vqt</t>
  </si>
  <si>
    <t xml:space="preserve">wbqwgZ Dr‡mi Avq                       </t>
  </si>
  <si>
    <t xml:space="preserve">`ywU Dr‡mi Av‡qi ‡hvMdj                     </t>
  </si>
  <si>
    <t xml:space="preserve">          </t>
  </si>
  <si>
    <t>Avg`vbx I mieivn e¨emv‡qi Rb¨-</t>
  </si>
  <si>
    <t xml:space="preserve">163 avivi Avq/e¨emvi  Avq </t>
  </si>
  <si>
    <t xml:space="preserve">163(2)/163(4) avivi b~¨bZg Ki`vq </t>
  </si>
  <si>
    <r>
      <rPr>
        <b/>
        <sz val="12"/>
        <rFont val="SutonnyMJ"/>
      </rPr>
      <t xml:space="preserve">ev`t </t>
    </r>
    <r>
      <rPr>
        <sz val="12"/>
        <rFont val="SutonnyMJ"/>
      </rPr>
      <t xml:space="preserve">wbqwgZ Dr‡mi Av‡qi Dci cÖ‡hvR¨ AvqKi   </t>
    </r>
  </si>
  <si>
    <t xml:space="preserve">(1) 163(2)/163(4) avivi b~¨bZg Ki`vq </t>
  </si>
  <si>
    <t xml:space="preserve">(2) 163(5) avivi Uvb©Ifvi U¨v· </t>
  </si>
  <si>
    <t>(3) 163 avivq Dr‡m KwZ©Z b~¨bZg K‡ii cwigvY</t>
  </si>
  <si>
    <t>Ki`vZvi .................................................. e¨emvi †¶‡Î Dr‡m KwZ©Z Ki AvqKi AvBb, 2023 Gi 163 aviv Abyhvqx b~¨bZg Ki`vq we‡ewPZ nIqvq, Ki`vZvi †gvU Avq I Ki `v‡qi cwigvb wb¤œiæcfv‡e wbiƒcb Kiv nj-</t>
  </si>
  <si>
    <t>Ki wba©viYx Av‡`‡ki †¶‡Î-</t>
  </si>
  <si>
    <t>dv‡g©i Askx`vix Avqt</t>
  </si>
  <si>
    <t>74 to Assessment Date, t2</t>
  </si>
  <si>
    <t>Logical, t1</t>
  </si>
  <si>
    <t>bxU m¤c`t *</t>
  </si>
  <si>
    <t>†iqvZ‡hvM¨ wewb‡qvM I e¨q</t>
  </si>
  <si>
    <t>†iqvZ‡hvM¨ (wewb‡qvM I e¨‡qi) 15%</t>
  </si>
  <si>
    <t>Aby‡gvw`Z wewb‡qvM I e¨q</t>
  </si>
  <si>
    <t>Av‡qi cwigvY</t>
  </si>
  <si>
    <t>wbU Ki‡hvM¨ Avq</t>
  </si>
  <si>
    <t>wbU Ki‡hvM¨</t>
  </si>
  <si>
    <t>আনুতোষিক/অ্যানুইটি, পেনশন বা ইহাদের সম্পূরক</t>
  </si>
  <si>
    <t>আনুতোষিক/অ্যানুইটি, পেনশন বা ইহাদের সম্পূরক (করমুক্ত)</t>
  </si>
  <si>
    <t>মূলধনী আয় (নিয়মিত করদায়ভুক্ত)</t>
  </si>
  <si>
    <t>(55,56,76(6) aviq Avq)</t>
  </si>
  <si>
    <t>৫৬/৭৬(৬) ধারায় নিয়মিত করদায়ভুক্ত আয়</t>
  </si>
  <si>
    <t>বিদেশে উদ্ভূত করযোগ্য আয়</t>
  </si>
  <si>
    <t>(Zdwmj 6/1 e¨ZxZ)</t>
  </si>
  <si>
    <t>১৬৩ ধারায় ব্যবসার আয় (ন্যূনতম করদায়ভুক্ত)</t>
  </si>
  <si>
    <t>* 163 avivi P‚ovšÍ Ki`vq Avq (mÂqc‡Îi gybvdv, BZ¨vw`)</t>
  </si>
  <si>
    <t>Company</t>
  </si>
  <si>
    <t>Gross Receipt/Sales</t>
  </si>
  <si>
    <t>(¯’vbxq weµq+ Ab¨vb¨ m~‡Îi Avq)</t>
  </si>
  <si>
    <t>Rbve †gvt bvCg nvmvb</t>
  </si>
  <si>
    <t>যুদ্ধাহত মুক্তিযোদ্ধা/সমমান</t>
  </si>
  <si>
    <t>ITA, 2023 174 Rate %</t>
  </si>
  <si>
    <t>u/s 44(5)(a) or, 174</t>
  </si>
  <si>
    <t>Tax Paid (AIT+TDS), u/s 174</t>
  </si>
  <si>
    <t>আর্থিক পরিসম্পদ হতে ১৬৩ ধারার আয়</t>
  </si>
  <si>
    <t>আর্থিক পরিসম্পদ হতে নিয়মিত করদায়ভুক্ত আয়</t>
  </si>
  <si>
    <t>পেশাগত আয়</t>
  </si>
  <si>
    <t>১৬৩ ধারায় ন্যূনতম করদায়ভুক্ত মোট আয়</t>
  </si>
  <si>
    <t>wbqwgZ Avq + 163 Avq - dv‡g©i Kiv‡ivwcZ Avq</t>
  </si>
  <si>
    <t>6th/ Final Slab</t>
  </si>
  <si>
    <t>Final Slab Calculation</t>
  </si>
  <si>
    <r>
      <rPr>
        <b/>
        <sz val="10"/>
        <rFont val="SutonnyMJ"/>
      </rPr>
      <t xml:space="preserve">                               </t>
    </r>
    <r>
      <rPr>
        <b/>
        <u/>
        <sz val="10"/>
        <rFont val="SutonnyMJ"/>
      </rPr>
      <t>Zdwmj-1 (†eZbvw`)</t>
    </r>
  </si>
  <si>
    <t>163 Calculation, final Slab</t>
  </si>
  <si>
    <t>Simple &amp; Delay Interest</t>
  </si>
  <si>
    <t xml:space="preserve">82wewe/82wm (AvqKi Aa¨v‡`k, 1984)/183(7) </t>
  </si>
  <si>
    <t>বেতন-ভাতা (Yes)</t>
  </si>
  <si>
    <t>(c‡bi j¶ ... nvRvi Ewbk UvKv gvÎ )</t>
  </si>
  <si>
    <r>
      <rPr>
        <b/>
        <u/>
        <sz val="10"/>
        <color theme="0" tint="-0.499984740745262"/>
        <rFont val="Times New Roman"/>
        <family val="1"/>
      </rPr>
      <t>Any Query:</t>
    </r>
    <r>
      <rPr>
        <b/>
        <sz val="8"/>
        <color theme="0" tint="-0.499984740745262"/>
        <rFont val="Times New Roman"/>
        <family val="1"/>
      </rPr>
      <t xml:space="preserve">
</t>
    </r>
    <r>
      <rPr>
        <i/>
        <sz val="8"/>
        <color theme="0" tint="-0.499984740745262"/>
        <rFont val="Times New Roman"/>
        <family val="1"/>
      </rPr>
      <t>mrahman.buet08@gmail.com</t>
    </r>
    <r>
      <rPr>
        <b/>
        <sz val="8"/>
        <color theme="0" tint="-0.499984740745262"/>
        <rFont val="Times New Roman"/>
        <family val="1"/>
      </rPr>
      <t xml:space="preserve">
</t>
    </r>
    <r>
      <rPr>
        <b/>
        <u/>
        <sz val="9"/>
        <color theme="0" tint="-0.499984740745262"/>
        <rFont val="Times New Roman"/>
        <family val="1"/>
      </rPr>
      <t>Special Thanks:</t>
    </r>
    <r>
      <rPr>
        <b/>
        <sz val="8"/>
        <color theme="0" tint="-0.499984740745262"/>
        <rFont val="Times New Roman"/>
        <family val="1"/>
      </rPr>
      <t xml:space="preserve">
</t>
    </r>
    <r>
      <rPr>
        <sz val="8"/>
        <color theme="0" tint="-0.499984740745262"/>
        <rFont val="Times New Roman"/>
        <family val="1"/>
      </rPr>
      <t>ACT/DCT: Tofayel Sir (34), Maniruzzaman(38), Istiaque(38), Shafiq(38), Nazirul(38) &amp; Palash (UDA).</t>
    </r>
    <r>
      <rPr>
        <b/>
        <sz val="8"/>
        <color theme="0" tint="-0.499984740745262"/>
        <rFont val="Times New Roman"/>
        <family val="1"/>
      </rPr>
      <t xml:space="preserve">
</t>
    </r>
    <r>
      <rPr>
        <b/>
        <u/>
        <sz val="10"/>
        <color theme="0" tint="-0.499984740745262"/>
        <rFont val="Times New Roman"/>
        <family val="1"/>
      </rPr>
      <t>For Latest Version Download:</t>
    </r>
  </si>
  <si>
    <t>https://tinyurl.com/easypeasytax</t>
  </si>
  <si>
    <t xml:space="preserve">†emiKvwi PvKwi n‡Z Avq </t>
  </si>
  <si>
    <t>†emiKvwi PvKwi n‡Z Avq (‡eZb I fvZvw`)</t>
  </si>
  <si>
    <t>(সরকারি/সমমান) চাকরি হতে করযোগ্য আয়</t>
  </si>
  <si>
    <t xml:space="preserve">†emiKvwi PvKwi n‡Z Ki‡hvM¨ †gvU Avq </t>
  </si>
  <si>
    <t>(32 avivi Avq)</t>
  </si>
  <si>
    <t>02-2222244444</t>
  </si>
  <si>
    <t>Scan this QR Code/go to this link or recalculate tax by yourself for this document: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</si>
</sst>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yyyy\-mm\-dd;@"/>
    <numFmt numFmtId="167" formatCode="[$-5000445]0"/>
    <numFmt numFmtId="168" formatCode="_ * #,##0_ ;_ * \-#,##0_ ;_ * &quot;-&quot;??_ ;_ @_ "/>
    <numFmt numFmtId="169" formatCode="[$-5000000]dd/mm/yyyy"/>
    <numFmt numFmtId="170" formatCode="[$-F800]dddd\,\ mmmm\ dd\,\ yyyy"/>
    <numFmt numFmtId="171" formatCode="[$-845]dd\ mmmm\ yyyy;@"/>
    <numFmt numFmtId="172" formatCode="0.0"/>
    <numFmt numFmtId="173" formatCode="0.0%"/>
  </numFmts>
  <fonts count="27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2"/>
      <name val="SutonnyMJ"/>
    </font>
    <font>
      <sz val="12"/>
      <name val="Times New Roman"/>
      <family val="1"/>
    </font>
    <font>
      <b/>
      <sz val="12"/>
      <name val="SutonnyMJ"/>
    </font>
    <font>
      <sz val="11"/>
      <name val="SutonnyMJ"/>
    </font>
    <font>
      <sz val="10"/>
      <name val="SutonnyMJ"/>
    </font>
    <font>
      <b/>
      <sz val="11"/>
      <name val="SutonnyMJ"/>
    </font>
    <font>
      <sz val="11"/>
      <color rgb="FFFF0000"/>
      <name val="SutonnyMJ"/>
    </font>
    <font>
      <sz val="12"/>
      <color rgb="FFFF0000"/>
      <name val="SutonnyMJ"/>
    </font>
    <font>
      <i/>
      <sz val="11"/>
      <name val="SutonnyMJ"/>
    </font>
    <font>
      <b/>
      <sz val="11"/>
      <color rgb="FF7030A0"/>
      <name val="SutonnyMJ"/>
    </font>
    <font>
      <sz val="11"/>
      <name val="Times New Roman"/>
      <family val="1"/>
    </font>
    <font>
      <b/>
      <sz val="10"/>
      <name val="SutonnyMJ"/>
    </font>
    <font>
      <sz val="11"/>
      <name val="NikoshBAN"/>
    </font>
    <font>
      <sz val="9"/>
      <name val="Arial"/>
      <family val="2"/>
    </font>
    <font>
      <b/>
      <sz val="11"/>
      <name val="Times New Roman"/>
      <family val="1"/>
    </font>
    <font>
      <b/>
      <sz val="14"/>
      <color rgb="FFFF0000"/>
      <name val="SutonnyMJ"/>
    </font>
    <font>
      <b/>
      <sz val="12"/>
      <color rgb="FFFF0000"/>
      <name val="SutonnyMJ"/>
    </font>
    <font>
      <sz val="10"/>
      <color rgb="FFFF0000"/>
      <name val="Arial"/>
      <family val="2"/>
    </font>
    <font>
      <b/>
      <sz val="16"/>
      <color rgb="FFFF0000"/>
      <name val="Arial"/>
      <family val="2"/>
    </font>
    <font>
      <b/>
      <sz val="14"/>
      <name val="SutonnyMJ"/>
    </font>
    <font>
      <b/>
      <sz val="10"/>
      <color rgb="FFFF0000"/>
      <name val="Arial"/>
      <family val="2"/>
    </font>
    <font>
      <sz val="11"/>
      <color rgb="FF00B050"/>
      <name val="SutonnyMJ"/>
    </font>
    <font>
      <sz val="12"/>
      <name val="Arial"/>
      <family val="2"/>
    </font>
    <font>
      <b/>
      <sz val="8"/>
      <name val="SutonnyMJ"/>
    </font>
    <font>
      <sz val="13"/>
      <name val="SutonnyMJ"/>
    </font>
    <font>
      <b/>
      <sz val="13"/>
      <name val="SutonnyMJ"/>
    </font>
    <font>
      <sz val="11"/>
      <name val="Arial"/>
      <family val="2"/>
    </font>
    <font>
      <u/>
      <sz val="12"/>
      <name val="SutonnyMJ"/>
    </font>
    <font>
      <b/>
      <sz val="10"/>
      <color rgb="FF7030A0"/>
      <name val="Arial"/>
      <family val="2"/>
    </font>
    <font>
      <sz val="8"/>
      <color rgb="FF7030A0"/>
      <name val="Arial"/>
      <family val="2"/>
    </font>
    <font>
      <sz val="10"/>
      <color theme="0" tint="-0.34998626667073579"/>
      <name val="SutonnyMJ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249977111117893"/>
      <name val="SutonnyMJ"/>
    </font>
    <font>
      <b/>
      <sz val="12"/>
      <name val="NikoshBAN"/>
    </font>
    <font>
      <sz val="12"/>
      <color rgb="FF7030A0"/>
      <name val="SutonnyMJ"/>
    </font>
    <font>
      <b/>
      <sz val="11"/>
      <color rgb="FFFF0000"/>
      <name val="SutonnyMJ"/>
    </font>
    <font>
      <sz val="12"/>
      <name val="NikoshBAN"/>
    </font>
    <font>
      <b/>
      <sz val="14"/>
      <name val="Times New Roman"/>
      <family val="1"/>
    </font>
    <font>
      <b/>
      <u/>
      <sz val="12"/>
      <name val="SutonnyMJ"/>
    </font>
    <font>
      <sz val="12"/>
      <color theme="1" tint="0.34998626667073579"/>
      <name val="SutonnyMJ"/>
    </font>
    <font>
      <sz val="12"/>
      <color theme="0" tint="-0.34998626667073579"/>
      <name val="SutonnyMJ"/>
    </font>
    <font>
      <b/>
      <sz val="12"/>
      <color theme="1" tint="0.34998626667073579"/>
      <name val="SutonnyMJ"/>
    </font>
    <font>
      <i/>
      <sz val="12"/>
      <name val="SutonnyMJ"/>
    </font>
    <font>
      <i/>
      <sz val="12"/>
      <color rgb="FFFF0000"/>
      <name val="SutonnyMJ"/>
    </font>
    <font>
      <sz val="14"/>
      <name val="SutonnyMJ"/>
    </font>
    <font>
      <sz val="13"/>
      <color rgb="FFFF0000"/>
      <name val="SutonnyMJ"/>
    </font>
    <font>
      <sz val="13"/>
      <name val="Arial"/>
      <family val="2"/>
    </font>
    <font>
      <sz val="11.5"/>
      <name val="SutonnyMJ"/>
    </font>
    <font>
      <b/>
      <sz val="12.5"/>
      <name val="SutonnyMJ"/>
    </font>
    <font>
      <b/>
      <sz val="10.5"/>
      <name val="SutonnyMJ"/>
    </font>
    <font>
      <sz val="13"/>
      <name val="NikoshBAN"/>
    </font>
    <font>
      <sz val="13"/>
      <color rgb="FF000000"/>
      <name val="NikoshBAN"/>
    </font>
    <font>
      <b/>
      <sz val="13"/>
      <color rgb="FF000000"/>
      <name val="NikoshBAN"/>
    </font>
    <font>
      <sz val="13"/>
      <color rgb="FFFFFFFF"/>
      <name val="NikoshBAN"/>
    </font>
    <font>
      <u/>
      <sz val="12"/>
      <color rgb="FF000000"/>
      <name val="NikoshBAN"/>
    </font>
    <font>
      <sz val="11"/>
      <color rgb="FF000000"/>
      <name val="SutonnyMJ"/>
    </font>
    <font>
      <sz val="13"/>
      <color rgb="FF000000"/>
      <name val="SutonnyMJ"/>
    </font>
    <font>
      <sz val="12"/>
      <color rgb="FF000000"/>
      <name val="SutonnyMJ"/>
    </font>
    <font>
      <b/>
      <sz val="12"/>
      <color rgb="FF000000"/>
      <name val="SutonnyMJ"/>
    </font>
    <font>
      <b/>
      <sz val="14"/>
      <color rgb="FF000000"/>
      <name val="SutonnyMJ"/>
    </font>
    <font>
      <sz val="12"/>
      <color rgb="FF000000"/>
      <name val="Times New Roman"/>
      <family val="1"/>
    </font>
    <font>
      <sz val="14"/>
      <color rgb="FF000000"/>
      <name val="NikoshBAN"/>
    </font>
    <font>
      <sz val="14"/>
      <color rgb="FF000000"/>
      <name val="SutonnyMJ"/>
    </font>
    <font>
      <b/>
      <sz val="16"/>
      <color rgb="FF000000"/>
      <name val="SutonnyMJ"/>
    </font>
    <font>
      <b/>
      <sz val="10"/>
      <name val="NikoshBAN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Times New Roman"/>
      <family val="1"/>
    </font>
    <font>
      <sz val="9"/>
      <name val="AdorshoLipi"/>
    </font>
    <font>
      <b/>
      <sz val="9"/>
      <name val="Arial"/>
      <family val="2"/>
    </font>
    <font>
      <b/>
      <sz val="9"/>
      <name val="NikoshBAN"/>
    </font>
    <font>
      <b/>
      <sz val="11"/>
      <color rgb="FF7030A0"/>
      <name val="Arial"/>
      <family val="2"/>
    </font>
    <font>
      <b/>
      <sz val="11"/>
      <color rgb="FFC00000"/>
      <name val="SutonnyMJ"/>
    </font>
    <font>
      <b/>
      <sz val="12"/>
      <name val="Times New Roman"/>
      <family val="1"/>
    </font>
    <font>
      <b/>
      <sz val="12"/>
      <name val="SutonnyMJ"/>
      <family val="1"/>
    </font>
    <font>
      <sz val="12"/>
      <color rgb="FFC00000"/>
      <name val="SutonnyMJ"/>
    </font>
    <font>
      <sz val="11"/>
      <color theme="0" tint="-0.34998626667073579"/>
      <name val="SutonnyMJ"/>
    </font>
    <font>
      <sz val="11"/>
      <color rgb="FF0070C0"/>
      <name val="SutonnyMJ"/>
    </font>
    <font>
      <b/>
      <sz val="12"/>
      <color theme="3" tint="-0.249977111117893"/>
      <name val="SutonnyMJ"/>
    </font>
    <font>
      <sz val="11"/>
      <color theme="1" tint="0.499984740745262"/>
      <name val="SutonnyMJ"/>
    </font>
    <font>
      <sz val="10"/>
      <color theme="1" tint="0.499984740745262"/>
      <name val="SutonnyMJ"/>
    </font>
    <font>
      <b/>
      <sz val="11"/>
      <name val="NikoshBAN"/>
    </font>
    <font>
      <b/>
      <u/>
      <sz val="12"/>
      <name val="NikoshBAN"/>
    </font>
    <font>
      <b/>
      <sz val="14"/>
      <name val="NikoshBAN"/>
    </font>
    <font>
      <sz val="14"/>
      <name val="NikoshBAN"/>
    </font>
    <font>
      <u/>
      <sz val="11"/>
      <name val="NikoshBAN"/>
    </font>
    <font>
      <b/>
      <u val="double"/>
      <sz val="14"/>
      <name val="NikoshBAN"/>
    </font>
    <font>
      <b/>
      <sz val="13"/>
      <name val="NikoshBAN"/>
    </font>
    <font>
      <b/>
      <sz val="16"/>
      <name val="SutonnyMJ"/>
    </font>
    <font>
      <sz val="12"/>
      <color theme="1"/>
      <name val="SutonnyMJ"/>
    </font>
    <font>
      <b/>
      <sz val="14"/>
      <color theme="1"/>
      <name val="SutonnyMJ"/>
    </font>
    <font>
      <sz val="11"/>
      <color theme="1"/>
      <name val="SutonnyMJ"/>
    </font>
    <font>
      <b/>
      <sz val="12"/>
      <color theme="1"/>
      <name val="SutonnyMJ"/>
    </font>
    <font>
      <sz val="11"/>
      <color theme="0" tint="-0.34998626667073579"/>
      <name val="NikoshBAN"/>
    </font>
    <font>
      <sz val="12"/>
      <color rgb="FF7030A0"/>
      <name val="NikoshBAN"/>
    </font>
    <font>
      <sz val="11"/>
      <color rgb="FFFF0000"/>
      <name val="NikoshBAN"/>
    </font>
    <font>
      <sz val="12"/>
      <color rgb="FFFF0000"/>
      <name val="NikoshBAN"/>
    </font>
    <font>
      <sz val="11.5"/>
      <name val="NikoshBAN"/>
    </font>
    <font>
      <i/>
      <sz val="11"/>
      <color theme="1" tint="0.34998626667073579"/>
      <name val="SutonnyMJ"/>
    </font>
    <font>
      <sz val="11"/>
      <color theme="1" tint="0.34998626667073579"/>
      <name val="SutonnyMJ"/>
    </font>
    <font>
      <sz val="10"/>
      <color theme="1" tint="0.34998626667073579"/>
      <name val="Arial"/>
      <family val="2"/>
    </font>
    <font>
      <b/>
      <sz val="11"/>
      <color theme="1" tint="0.34998626667073579"/>
      <name val="SutonnyMJ"/>
    </font>
    <font>
      <b/>
      <i/>
      <sz val="12"/>
      <color theme="1" tint="0.34998626667073579"/>
      <name val="SutonnyMJ"/>
    </font>
    <font>
      <b/>
      <sz val="12"/>
      <color rgb="FFC00000"/>
      <name val="SutonnyMJ"/>
    </font>
    <font>
      <b/>
      <u/>
      <sz val="14"/>
      <name val="SutonnyMJ"/>
    </font>
    <font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sz val="8"/>
      <color theme="0" tint="-0.499984740745262"/>
      <name val="Times New Roman"/>
      <family val="1"/>
    </font>
    <font>
      <b/>
      <u/>
      <sz val="13"/>
      <name val="SutonnyMJ"/>
    </font>
    <font>
      <sz val="13"/>
      <color rgb="FFFF0000"/>
      <name val="NikoshBAN"/>
    </font>
    <font>
      <sz val="11"/>
      <color theme="1" tint="0.499984740745262"/>
      <name val="NikoshBAN"/>
    </font>
    <font>
      <sz val="10.5"/>
      <name val="NikoshBAN"/>
    </font>
    <font>
      <b/>
      <sz val="8"/>
      <name val="Arial"/>
      <family val="2"/>
    </font>
    <font>
      <sz val="9"/>
      <color theme="0" tint="-0.34998626667073579"/>
      <name val="SutonnyMJ"/>
    </font>
    <font>
      <b/>
      <sz val="8"/>
      <color rgb="FF7030A0"/>
      <name val="Arial"/>
      <family val="2"/>
    </font>
    <font>
      <b/>
      <sz val="11"/>
      <color rgb="FF7030A0"/>
      <name val="Times New Roman"/>
      <family val="1"/>
    </font>
    <font>
      <b/>
      <sz val="12"/>
      <color rgb="FF7030A0"/>
      <name val="SutonnyMJ"/>
    </font>
    <font>
      <b/>
      <sz val="10"/>
      <name val="Times New Roman"/>
      <family val="1"/>
    </font>
    <font>
      <b/>
      <sz val="10.5"/>
      <name val="Times New Roman"/>
      <family val="1"/>
    </font>
    <font>
      <b/>
      <sz val="10"/>
      <color theme="4" tint="-0.249977111117893"/>
      <name val="Arial"/>
      <family val="2"/>
    </font>
    <font>
      <sz val="10"/>
      <color rgb="FFFF0000"/>
      <name val="SutonnyMJ"/>
    </font>
    <font>
      <b/>
      <sz val="12"/>
      <color rgb="FF7030A0"/>
      <name val="NikoshBAN"/>
    </font>
    <font>
      <sz val="12"/>
      <color rgb="FF0070C0"/>
      <name val="NikoshBAN"/>
    </font>
    <font>
      <sz val="12"/>
      <color theme="1" tint="0.499984740745262"/>
      <name val="NikoshBAN"/>
    </font>
    <font>
      <b/>
      <sz val="12"/>
      <color theme="1" tint="0.499984740745262"/>
      <name val="NikoshBAN"/>
    </font>
    <font>
      <sz val="10"/>
      <color theme="1" tint="0.499984740745262"/>
      <name val="Arial"/>
      <family val="2"/>
    </font>
    <font>
      <b/>
      <sz val="10"/>
      <color theme="1" tint="0.49998474074526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SutonnyMJ"/>
    </font>
    <font>
      <sz val="9"/>
      <color theme="1" tint="0.499984740745262"/>
      <name val="SutonnyMJ"/>
    </font>
    <font>
      <sz val="10"/>
      <color theme="0" tint="-0.499984740745262"/>
      <name val="Arial"/>
      <family val="2"/>
    </font>
    <font>
      <sz val="11"/>
      <color theme="0" tint="-0.499984740745262"/>
      <name val="SutonnyMJ"/>
    </font>
    <font>
      <sz val="12"/>
      <color theme="1" tint="0.499984740745262"/>
      <name val="SutonnyMJ"/>
    </font>
    <font>
      <b/>
      <i/>
      <sz val="11"/>
      <name val="Times New Roman"/>
      <family val="1"/>
    </font>
    <font>
      <sz val="11"/>
      <color theme="9" tint="-0.249977111117893"/>
      <name val="SutonnyMJ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1"/>
      <name val="SutonnyMJ"/>
    </font>
    <font>
      <b/>
      <i/>
      <sz val="11"/>
      <color rgb="FFFF0066"/>
      <name val="SutonnyMJ"/>
    </font>
    <font>
      <sz val="11"/>
      <color theme="1" tint="0.499984740745262"/>
      <name val="Times New Roman"/>
      <family val="1"/>
    </font>
    <font>
      <b/>
      <sz val="13"/>
      <color rgb="FF002060"/>
      <name val="SutonnyMJ"/>
    </font>
    <font>
      <b/>
      <sz val="12"/>
      <color rgb="FF002060"/>
      <name val="Times New Roman"/>
      <family val="1"/>
    </font>
    <font>
      <b/>
      <sz val="14"/>
      <color rgb="FF002060"/>
      <name val="SutonnyMJ"/>
    </font>
    <font>
      <b/>
      <sz val="12"/>
      <color theme="1" tint="0.499984740745262"/>
      <name val="SutonnyMJ"/>
    </font>
    <font>
      <b/>
      <sz val="11"/>
      <color rgb="FFFF0505"/>
      <name val="Times New Roman"/>
      <family val="1"/>
    </font>
    <font>
      <i/>
      <sz val="10"/>
      <color rgb="FF002060"/>
      <name val="Arial"/>
      <family val="2"/>
    </font>
    <font>
      <sz val="11.5"/>
      <color theme="1" tint="0.34998626667073579"/>
      <name val="SutonnyMJ"/>
    </font>
    <font>
      <b/>
      <sz val="11.5"/>
      <name val="SutonnyMJ"/>
    </font>
    <font>
      <b/>
      <i/>
      <sz val="10"/>
      <color theme="1" tint="0.499984740745262"/>
      <name val="SutonnyMJ"/>
    </font>
    <font>
      <sz val="10"/>
      <color theme="1" tint="0.499984740745262"/>
      <name val="Times New Roman"/>
      <family val="1"/>
    </font>
    <font>
      <i/>
      <sz val="11"/>
      <color theme="1" tint="0.499984740745262"/>
      <name val="Times New Roman"/>
      <family val="1"/>
    </font>
    <font>
      <b/>
      <i/>
      <sz val="12"/>
      <name val="SutonnyMJ"/>
    </font>
    <font>
      <sz val="10.5"/>
      <name val="SutonnyMJ"/>
    </font>
    <font>
      <sz val="10"/>
      <color theme="1" tint="0.499984740745262"/>
      <name val="NikoshBAN"/>
    </font>
    <font>
      <b/>
      <sz val="8"/>
      <name val="Times New Roman"/>
      <family val="1"/>
    </font>
    <font>
      <sz val="9"/>
      <color theme="1" tint="0.499984740745262"/>
      <name val="Arial"/>
      <family val="2"/>
    </font>
    <font>
      <sz val="9"/>
      <color theme="1" tint="0.499984740745262"/>
      <name val="NikoshBAN"/>
    </font>
    <font>
      <sz val="8"/>
      <color theme="1" tint="0.499984740745262"/>
      <name val="Arial"/>
      <family val="2"/>
    </font>
    <font>
      <b/>
      <sz val="10"/>
      <color rgb="FF7030A0"/>
      <name val="Times New Roman"/>
      <family val="1"/>
    </font>
    <font>
      <b/>
      <sz val="9"/>
      <color rgb="FF7030A0"/>
      <name val="Arial"/>
      <family val="2"/>
    </font>
    <font>
      <b/>
      <sz val="12"/>
      <color rgb="FFFFFF00"/>
      <name val="SutonnyMJ"/>
    </font>
    <font>
      <b/>
      <sz val="11"/>
      <color rgb="FFFF0000"/>
      <name val="Arial"/>
      <family val="2"/>
    </font>
    <font>
      <b/>
      <sz val="10"/>
      <color rgb="FFFF0000"/>
      <name val="Times New Roman"/>
      <family val="1"/>
    </font>
    <font>
      <b/>
      <sz val="12"/>
      <color rgb="FF002060"/>
      <name val="SutonnyMJ"/>
    </font>
    <font>
      <b/>
      <sz val="13"/>
      <color rgb="FFFF0000"/>
      <name val="Times New Roman"/>
      <family val="1"/>
    </font>
    <font>
      <sz val="13"/>
      <name val="AdorshoLipi"/>
    </font>
    <font>
      <sz val="13"/>
      <color theme="3"/>
      <name val="Arial"/>
      <family val="2"/>
    </font>
    <font>
      <b/>
      <sz val="13"/>
      <color theme="2" tint="-0.249977111117893"/>
      <name val="SutonnyMJ"/>
    </font>
    <font>
      <sz val="13"/>
      <color rgb="FF002060"/>
      <name val="Arial"/>
      <family val="2"/>
    </font>
    <font>
      <sz val="12"/>
      <color rgb="FF002060"/>
      <name val="SutonnyMJ"/>
    </font>
    <font>
      <sz val="11"/>
      <color rgb="FF002060"/>
      <name val="SutonnyMJ"/>
    </font>
    <font>
      <sz val="12"/>
      <color theme="3"/>
      <name val="Arial"/>
      <family val="2"/>
    </font>
    <font>
      <i/>
      <sz val="10"/>
      <color theme="1" tint="0.499984740745262"/>
      <name val="SutonnyMJ"/>
    </font>
    <font>
      <i/>
      <sz val="11.5"/>
      <name val="SutonnyMJ"/>
    </font>
    <font>
      <b/>
      <i/>
      <sz val="11.5"/>
      <name val="SutonnyMJ"/>
    </font>
    <font>
      <i/>
      <sz val="10.5"/>
      <name val="SutonnyMJ"/>
    </font>
    <font>
      <b/>
      <sz val="20"/>
      <name val="Times New Roman"/>
      <family val="1"/>
    </font>
    <font>
      <sz val="12"/>
      <color theme="3"/>
      <name val="NikoshBAN"/>
    </font>
    <font>
      <sz val="12"/>
      <color rgb="FF002060"/>
      <name val="NikoshBAN"/>
    </font>
    <font>
      <i/>
      <sz val="12"/>
      <color rgb="FF002060"/>
      <name val="Times New Roman"/>
      <family val="1"/>
    </font>
    <font>
      <b/>
      <sz val="14"/>
      <color rgb="FFFF0066"/>
      <name val="SutonnyMJ"/>
    </font>
    <font>
      <sz val="10"/>
      <color rgb="FFFF0066"/>
      <name val="Arial"/>
      <family val="2"/>
    </font>
    <font>
      <b/>
      <sz val="12"/>
      <color rgb="FFFF0066"/>
      <name val="SutonnyMJ"/>
    </font>
    <font>
      <sz val="12"/>
      <color rgb="FFFF0066"/>
      <name val="SutonnyMJ"/>
    </font>
    <font>
      <b/>
      <sz val="13"/>
      <color rgb="FFFF0066"/>
      <name val="SutonnyMJ"/>
    </font>
    <font>
      <sz val="13"/>
      <color rgb="FFFF0066"/>
      <name val="SutonnyMJ"/>
    </font>
    <font>
      <sz val="11"/>
      <color rgb="FFFF0066"/>
      <name val="SutonnyMJ"/>
    </font>
    <font>
      <b/>
      <sz val="11"/>
      <color rgb="FFFF0066"/>
      <name val="SutonnyMJ"/>
    </font>
    <font>
      <i/>
      <sz val="12"/>
      <color rgb="FFFF0066"/>
      <name val="SutonnyMJ"/>
    </font>
    <font>
      <sz val="11"/>
      <color rgb="FF002060"/>
      <name val="NikoshBAN"/>
    </font>
    <font>
      <sz val="13"/>
      <color theme="1"/>
      <name val="SutonnyMJ"/>
    </font>
    <font>
      <sz val="13"/>
      <color theme="1"/>
      <name val="Times New Roman"/>
      <family val="1"/>
    </font>
    <font>
      <b/>
      <u/>
      <sz val="12"/>
      <color theme="1"/>
      <name val="SutonnyMJ"/>
    </font>
    <font>
      <sz val="10"/>
      <color theme="1"/>
      <name val="SutonnyMJ"/>
    </font>
    <font>
      <sz val="12"/>
      <color theme="1"/>
      <name val="Times New Roman"/>
      <family val="1"/>
    </font>
    <font>
      <sz val="8"/>
      <color theme="1" tint="0.499984740745262"/>
      <name val="SutonnyMJ"/>
    </font>
    <font>
      <b/>
      <sz val="9"/>
      <name val="SutonnyMJ"/>
    </font>
    <font>
      <b/>
      <sz val="10"/>
      <color theme="1"/>
      <name val="SutonnyMJ"/>
    </font>
    <font>
      <sz val="11"/>
      <color theme="1"/>
      <name val="Times New Roman"/>
      <family val="1"/>
    </font>
    <font>
      <sz val="11"/>
      <color rgb="FFFFFF00"/>
      <name val="SutonnyMJ"/>
    </font>
    <font>
      <b/>
      <i/>
      <sz val="12"/>
      <color rgb="FFFF0066"/>
      <name val="SutonnyMJ"/>
    </font>
    <font>
      <b/>
      <i/>
      <sz val="20"/>
      <color rgb="FFFFFF00"/>
      <name val="Times New Roman"/>
      <family val="1"/>
    </font>
    <font>
      <b/>
      <sz val="72"/>
      <color rgb="FFFF0000"/>
      <name val="Pristina"/>
      <family val="4"/>
    </font>
    <font>
      <sz val="10"/>
      <color theme="2" tint="-0.499984740745262"/>
      <name val="Arial"/>
      <family val="2"/>
    </font>
    <font>
      <sz val="10"/>
      <color theme="1"/>
      <name val="Arial"/>
      <family val="2"/>
    </font>
    <font>
      <sz val="14"/>
      <color rgb="FFFF0000"/>
      <name val="SutonnyMJ"/>
    </font>
    <font>
      <sz val="10"/>
      <color theme="0" tint="-0.34998626667073579"/>
      <name val="NikoshBAN"/>
    </font>
    <font>
      <sz val="12"/>
      <color theme="0" tint="-0.499984740745262"/>
      <name val="SutonnyMJ"/>
    </font>
    <font>
      <b/>
      <sz val="10.5"/>
      <color rgb="FF002060"/>
      <name val="Times New Roman"/>
      <family val="1"/>
    </font>
    <font>
      <b/>
      <i/>
      <sz val="8"/>
      <name val="Arial"/>
      <family val="2"/>
    </font>
    <font>
      <i/>
      <sz val="12"/>
      <color rgb="FFFF0000"/>
      <name val="Times New Roman"/>
      <family val="1"/>
    </font>
    <font>
      <sz val="10"/>
      <color theme="1" tint="0.34998626667073579"/>
      <name val="SutonnyMJ"/>
    </font>
    <font>
      <b/>
      <sz val="13"/>
      <color rgb="FF000000"/>
      <name val="SutonnyMJ"/>
    </font>
    <font>
      <b/>
      <sz val="11"/>
      <color theme="3" tint="-0.499984740745262"/>
      <name val="SutonnyMJ"/>
    </font>
    <font>
      <b/>
      <sz val="11"/>
      <color theme="3" tint="-0.499984740745262"/>
      <name val="Times New Roman"/>
      <family val="1"/>
    </font>
    <font>
      <b/>
      <sz val="8"/>
      <color theme="0" tint="-0.499984740745262"/>
      <name val="Times New Roman"/>
      <family val="1"/>
    </font>
    <font>
      <b/>
      <sz val="16"/>
      <color rgb="FFFFFF66"/>
      <name val="Tempus Sans ITC"/>
      <family val="5"/>
    </font>
    <font>
      <b/>
      <sz val="18"/>
      <color rgb="FFFFFF00"/>
      <name val="SutonnyMJ"/>
    </font>
    <font>
      <b/>
      <sz val="13"/>
      <color rgb="FFFF0000"/>
      <name val="SutonnyMJ"/>
    </font>
    <font>
      <sz val="13"/>
      <name val="Times New Roman"/>
      <family val="1"/>
    </font>
    <font>
      <b/>
      <sz val="26"/>
      <color rgb="FFFFFF00"/>
      <name val="Times New Roman"/>
      <family val="1"/>
    </font>
    <font>
      <u/>
      <sz val="10"/>
      <color theme="10"/>
      <name val="Arial"/>
      <family val="2"/>
    </font>
    <font>
      <b/>
      <sz val="10"/>
      <color theme="0" tint="-0.499984740745262"/>
      <name val="Times New Roman"/>
      <family val="1"/>
    </font>
    <font>
      <sz val="12"/>
      <color theme="3" tint="-0.499984740745262"/>
      <name val="SutonnyMJ"/>
    </font>
    <font>
      <i/>
      <sz val="8"/>
      <color theme="0" tint="-0.499984740745262"/>
      <name val="Times New Roman"/>
      <family val="1"/>
    </font>
    <font>
      <sz val="12"/>
      <color theme="4" tint="-0.499984740745262"/>
      <name val="Arial"/>
      <family val="2"/>
    </font>
    <font>
      <sz val="12"/>
      <color theme="4" tint="-0.499984740745262"/>
      <name val="SutonnyMJ"/>
    </font>
    <font>
      <b/>
      <i/>
      <sz val="12"/>
      <color theme="4" tint="-0.499984740745262"/>
      <name val="SutonnyMJ"/>
    </font>
    <font>
      <sz val="11"/>
      <color theme="4" tint="-0.499984740745262"/>
      <name val="SutonnyMJ"/>
    </font>
    <font>
      <b/>
      <sz val="12"/>
      <color theme="4" tint="-0.499984740745262"/>
      <name val="SutonnyMJ"/>
    </font>
    <font>
      <b/>
      <sz val="16"/>
      <color theme="4" tint="-0.499984740745262"/>
      <name val="SutonnyMJ"/>
    </font>
    <font>
      <sz val="9"/>
      <color theme="1" tint="0.34998626667073579"/>
      <name val="SutonnyMJ"/>
    </font>
    <font>
      <sz val="9"/>
      <color theme="0" tint="-0.34998626667073579"/>
      <name val="NikoshBAN"/>
    </font>
    <font>
      <sz val="12"/>
      <color theme="3" tint="-0.499984740745262"/>
      <name val="NikoshBAN"/>
    </font>
    <font>
      <b/>
      <sz val="11"/>
      <color rgb="FFFF0000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0" tint="-4.9989318521683403E-2"/>
      <name val="Arial"/>
      <family val="2"/>
    </font>
    <font>
      <sz val="10"/>
      <color theme="0" tint="-0.249977111117893"/>
      <name val="Arial"/>
      <family val="2"/>
    </font>
    <font>
      <sz val="8"/>
      <color theme="0" tint="-4.9989318521683403E-2"/>
      <name val="Arial"/>
      <family val="2"/>
    </font>
    <font>
      <sz val="8"/>
      <color theme="0" tint="-0.14999847407452621"/>
      <name val="Arial"/>
      <family val="2"/>
    </font>
    <font>
      <b/>
      <sz val="8"/>
      <color theme="7" tint="-0.249977111117893"/>
      <name val="Times New Roman"/>
      <family val="1"/>
    </font>
    <font>
      <b/>
      <sz val="7"/>
      <color theme="7" tint="-0.249977111117893"/>
      <name val="Times New Roman"/>
      <family val="1"/>
    </font>
    <font>
      <sz val="11"/>
      <color theme="8" tint="-0.249977111117893"/>
      <name val="SutonnyMJ"/>
    </font>
    <font>
      <sz val="9"/>
      <color theme="3"/>
      <name val="Times New Roman"/>
      <family val="1"/>
    </font>
    <font>
      <b/>
      <sz val="10"/>
      <color rgb="FF00B050"/>
      <name val="Times New Roman"/>
      <family val="1"/>
    </font>
    <font>
      <sz val="12"/>
      <color rgb="FF00B050"/>
      <name val="SutonnyMJ"/>
    </font>
    <font>
      <b/>
      <sz val="9"/>
      <color rgb="FF7030A0"/>
      <name val="Times New Roman"/>
      <family val="1"/>
    </font>
    <font>
      <b/>
      <sz val="8"/>
      <color rgb="FF7030A0"/>
      <name val="Times New Roman"/>
      <family val="1"/>
    </font>
    <font>
      <sz val="9"/>
      <color theme="0" tint="-0.14999847407452621"/>
      <name val="SutonnyMJ"/>
    </font>
    <font>
      <sz val="8"/>
      <color theme="0" tint="-0.499984740745262"/>
      <name val="Arial"/>
      <family val="2"/>
    </font>
    <font>
      <b/>
      <u/>
      <sz val="10"/>
      <name val="SutonnyMJ"/>
    </font>
    <font>
      <i/>
      <sz val="12"/>
      <color theme="0" tint="-0.34998626667073579"/>
      <name val="SutonnyMJ"/>
    </font>
    <font>
      <sz val="8"/>
      <color theme="0" tint="-0.34998626667073579"/>
      <name val="Arial"/>
      <family val="2"/>
    </font>
    <font>
      <b/>
      <u/>
      <sz val="9"/>
      <color theme="0" tint="-0.499984740745262"/>
      <name val="Times New Roman"/>
      <family val="1"/>
    </font>
    <font>
      <b/>
      <u/>
      <sz val="10"/>
      <color theme="0" tint="-0.499984740745262"/>
      <name val="Times New Roman"/>
      <family val="1"/>
    </font>
    <font>
      <sz val="11"/>
      <color theme="10"/>
      <name val="Times New Roman"/>
      <family val="1"/>
    </font>
    <font>
      <b/>
      <sz val="11"/>
      <color theme="10"/>
      <name val="Times New Roman"/>
      <family val="1"/>
    </font>
    <font>
      <b/>
      <i/>
      <sz val="11"/>
      <color theme="3" tint="0.3999755851924192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theme="0" tint="-0.34998626667073579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lightGray">
        <fgColor theme="3"/>
        <bgColor theme="2" tint="-9.9978637043366805E-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6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33" fillId="0" borderId="0" applyNumberFormat="0" applyFill="0" applyBorder="0" applyAlignment="0" applyProtection="0"/>
  </cellStyleXfs>
  <cellXfs count="1301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164" fontId="0" fillId="0" borderId="1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/>
    <xf numFmtId="0" fontId="0" fillId="0" borderId="0" xfId="0" applyAlignment="1">
      <alignment horizontal="right"/>
    </xf>
    <xf numFmtId="43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43" fontId="0" fillId="0" borderId="0" xfId="1" applyFont="1"/>
    <xf numFmtId="43" fontId="0" fillId="0" borderId="2" xfId="1" applyFont="1" applyBorder="1"/>
    <xf numFmtId="43" fontId="0" fillId="0" borderId="2" xfId="0" applyNumberFormat="1" applyBorder="1"/>
    <xf numFmtId="43" fontId="0" fillId="0" borderId="0" xfId="1" applyFont="1" applyBorder="1"/>
    <xf numFmtId="0" fontId="6" fillId="0" borderId="0" xfId="0" applyFont="1"/>
    <xf numFmtId="43" fontId="0" fillId="0" borderId="3" xfId="1" applyFont="1" applyBorder="1"/>
    <xf numFmtId="164" fontId="0" fillId="0" borderId="2" xfId="1" applyNumberFormat="1" applyFont="1" applyBorder="1"/>
    <xf numFmtId="164" fontId="0" fillId="0" borderId="0" xfId="0" applyNumberFormat="1" applyAlignment="1">
      <alignment horizontal="right"/>
    </xf>
    <xf numFmtId="164" fontId="0" fillId="0" borderId="1" xfId="0" applyNumberFormat="1" applyBorder="1"/>
    <xf numFmtId="164" fontId="0" fillId="0" borderId="2" xfId="0" applyNumberFormat="1" applyBorder="1"/>
    <xf numFmtId="0" fontId="8" fillId="0" borderId="0" xfId="0" applyFont="1"/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/>
    <xf numFmtId="0" fontId="31" fillId="0" borderId="0" xfId="0" applyFont="1"/>
    <xf numFmtId="0" fontId="9" fillId="0" borderId="0" xfId="0" applyFont="1" applyAlignment="1">
      <alignment horizontal="center"/>
    </xf>
    <xf numFmtId="165" fontId="9" fillId="0" borderId="4" xfId="1" applyNumberFormat="1" applyFont="1" applyBorder="1" applyAlignment="1" applyProtection="1">
      <alignment horizontal="center" vertical="center"/>
    </xf>
    <xf numFmtId="165" fontId="11" fillId="4" borderId="6" xfId="1" applyNumberFormat="1" applyFont="1" applyFill="1" applyBorder="1" applyAlignment="1" applyProtection="1">
      <alignment horizontal="right" vertical="center"/>
    </xf>
    <xf numFmtId="165" fontId="11" fillId="4" borderId="8" xfId="1" applyNumberFormat="1" applyFont="1" applyFill="1" applyBorder="1" applyAlignment="1" applyProtection="1">
      <alignment vertical="center"/>
    </xf>
    <xf numFmtId="165" fontId="50" fillId="0" borderId="8" xfId="1" applyNumberFormat="1" applyFont="1" applyBorder="1" applyAlignment="1" applyProtection="1">
      <alignment horizontal="right" vertical="center"/>
    </xf>
    <xf numFmtId="165" fontId="11" fillId="0" borderId="4" xfId="1" applyNumberFormat="1" applyFont="1" applyBorder="1" applyAlignment="1" applyProtection="1">
      <alignment horizontal="center" vertical="center"/>
    </xf>
    <xf numFmtId="165" fontId="9" fillId="0" borderId="8" xfId="1" applyNumberFormat="1" applyFont="1" applyBorder="1" applyAlignment="1" applyProtection="1">
      <alignment vertical="center"/>
    </xf>
    <xf numFmtId="165" fontId="9" fillId="0" borderId="8" xfId="1" applyNumberFormat="1" applyFont="1" applyBorder="1" applyAlignment="1" applyProtection="1">
      <alignment horizontal="center" vertical="center"/>
    </xf>
    <xf numFmtId="165" fontId="9" fillId="0" borderId="24" xfId="1" applyNumberFormat="1" applyFont="1" applyBorder="1" applyAlignment="1" applyProtection="1">
      <alignment vertical="center"/>
    </xf>
    <xf numFmtId="165" fontId="9" fillId="0" borderId="4" xfId="1" applyNumberFormat="1" applyFont="1" applyFill="1" applyBorder="1" applyProtection="1"/>
    <xf numFmtId="165" fontId="52" fillId="0" borderId="4" xfId="1" applyNumberFormat="1" applyFont="1" applyFill="1" applyBorder="1" applyProtection="1"/>
    <xf numFmtId="165" fontId="9" fillId="0" borderId="8" xfId="1" applyNumberFormat="1" applyFont="1" applyFill="1" applyBorder="1" applyProtection="1"/>
    <xf numFmtId="165" fontId="12" fillId="0" borderId="0" xfId="1" applyNumberFormat="1" applyFont="1" applyBorder="1" applyAlignment="1" applyProtection="1">
      <alignment vertical="center"/>
    </xf>
    <xf numFmtId="0" fontId="9" fillId="0" borderId="0" xfId="0" applyFont="1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65" fontId="14" fillId="0" borderId="0" xfId="1" applyNumberFormat="1" applyFont="1" applyBorder="1" applyAlignment="1" applyProtection="1">
      <alignment vertical="center"/>
    </xf>
    <xf numFmtId="165" fontId="14" fillId="0" borderId="0" xfId="1" applyNumberFormat="1" applyFont="1" applyBorder="1" applyAlignment="1" applyProtection="1">
      <alignment horizontal="center" vertical="center"/>
    </xf>
    <xf numFmtId="165" fontId="12" fillId="0" borderId="0" xfId="1" applyNumberFormat="1" applyFont="1" applyBorder="1" applyAlignment="1" applyProtection="1">
      <alignment horizontal="center" vertical="center"/>
    </xf>
    <xf numFmtId="165" fontId="15" fillId="0" borderId="0" xfId="1" applyNumberFormat="1" applyFont="1" applyBorder="1" applyAlignment="1" applyProtection="1">
      <alignment horizontal="center" vertical="center"/>
    </xf>
    <xf numFmtId="165" fontId="15" fillId="0" borderId="0" xfId="1" applyNumberFormat="1" applyFont="1" applyBorder="1" applyAlignment="1" applyProtection="1">
      <alignment horizontal="right"/>
    </xf>
    <xf numFmtId="165" fontId="14" fillId="0" borderId="0" xfId="1" applyNumberFormat="1" applyFont="1" applyBorder="1" applyAlignment="1" applyProtection="1">
      <alignment horizontal="right"/>
    </xf>
    <xf numFmtId="0" fontId="61" fillId="0" borderId="0" xfId="0" applyFont="1" applyAlignment="1" applyProtection="1">
      <alignment vertical="center"/>
      <protection hidden="1"/>
    </xf>
    <xf numFmtId="169" fontId="63" fillId="0" borderId="0" xfId="0" applyNumberFormat="1" applyFont="1" applyAlignment="1" applyProtection="1">
      <alignment vertical="center"/>
      <protection hidden="1"/>
    </xf>
    <xf numFmtId="0" fontId="64" fillId="0" borderId="0" xfId="0" applyFont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6" fillId="0" borderId="0" xfId="0" applyFont="1" applyAlignment="1" applyProtection="1">
      <alignment horizontal="right" vertical="center"/>
      <protection hidden="1"/>
    </xf>
    <xf numFmtId="0" fontId="66" fillId="0" borderId="0" xfId="0" applyFont="1" applyAlignment="1" applyProtection="1">
      <alignment horizontal="right" vertical="top"/>
      <protection hidden="1"/>
    </xf>
    <xf numFmtId="0" fontId="66" fillId="0" borderId="0" xfId="0" applyFont="1" applyAlignment="1" applyProtection="1">
      <alignment horizontal="center" vertical="center"/>
      <protection hidden="1"/>
    </xf>
    <xf numFmtId="0" fontId="68" fillId="0" borderId="0" xfId="0" applyFont="1" applyAlignment="1" applyProtection="1">
      <alignment horizontal="left" vertical="top"/>
      <protection hidden="1"/>
    </xf>
    <xf numFmtId="0" fontId="65" fillId="0" borderId="0" xfId="0" applyFont="1" applyAlignment="1" applyProtection="1">
      <alignment vertical="center"/>
      <protection hidden="1"/>
    </xf>
    <xf numFmtId="0" fontId="62" fillId="0" borderId="0" xfId="0" applyFont="1" applyAlignment="1" applyProtection="1">
      <alignment vertical="center"/>
      <protection hidden="1"/>
    </xf>
    <xf numFmtId="1" fontId="61" fillId="0" borderId="0" xfId="0" applyNumberFormat="1" applyFont="1" applyAlignment="1" applyProtection="1">
      <alignment vertical="top" wrapText="1"/>
      <protection hidden="1"/>
    </xf>
    <xf numFmtId="169" fontId="60" fillId="0" borderId="0" xfId="0" applyNumberFormat="1" applyFont="1" applyAlignment="1" applyProtection="1">
      <alignment horizontal="left" vertical="center"/>
      <protection hidden="1"/>
    </xf>
    <xf numFmtId="0" fontId="68" fillId="0" borderId="0" xfId="0" applyFont="1" applyAlignment="1" applyProtection="1">
      <alignment horizontal="right" vertical="top"/>
      <protection hidden="1"/>
    </xf>
    <xf numFmtId="0" fontId="66" fillId="0" borderId="0" xfId="0" applyFont="1" applyAlignment="1" applyProtection="1">
      <alignment vertical="center"/>
      <protection hidden="1"/>
    </xf>
    <xf numFmtId="0" fontId="54" fillId="0" borderId="0" xfId="0" applyFont="1" applyAlignment="1">
      <alignment vertical="center"/>
    </xf>
    <xf numFmtId="0" fontId="72" fillId="0" borderId="0" xfId="0" applyFont="1" applyAlignment="1" applyProtection="1">
      <alignment vertical="center"/>
      <protection hidden="1"/>
    </xf>
    <xf numFmtId="0" fontId="72" fillId="0" borderId="0" xfId="0" applyFont="1" applyAlignment="1" applyProtection="1">
      <alignment vertical="top"/>
      <protection hidden="1"/>
    </xf>
    <xf numFmtId="0" fontId="54" fillId="0" borderId="0" xfId="0" applyFont="1" applyAlignment="1">
      <alignment horizontal="right" vertical="center"/>
    </xf>
    <xf numFmtId="170" fontId="72" fillId="0" borderId="0" xfId="0" applyNumberFormat="1" applyFont="1" applyAlignment="1" applyProtection="1">
      <alignment horizontal="justify" vertical="center"/>
      <protection hidden="1"/>
    </xf>
    <xf numFmtId="0" fontId="69" fillId="0" borderId="0" xfId="0" applyFont="1" applyAlignment="1" applyProtection="1">
      <alignment vertical="center"/>
      <protection hidden="1"/>
    </xf>
    <xf numFmtId="0" fontId="28" fillId="0" borderId="0" xfId="0" applyFont="1" applyAlignment="1">
      <alignment horizontal="left"/>
    </xf>
    <xf numFmtId="166" fontId="54" fillId="0" borderId="0" xfId="0" applyNumberFormat="1" applyFont="1" applyAlignment="1">
      <alignment horizontal="center" vertical="center"/>
    </xf>
    <xf numFmtId="1" fontId="69" fillId="0" borderId="0" xfId="0" applyNumberFormat="1" applyFont="1" applyAlignment="1" applyProtection="1">
      <alignment horizontal="left" vertical="top"/>
      <protection hidden="1"/>
    </xf>
    <xf numFmtId="3" fontId="28" fillId="0" borderId="0" xfId="1" applyNumberFormat="1" applyFont="1" applyFill="1" applyBorder="1" applyAlignment="1" applyProtection="1">
      <alignment horizontal="right" vertical="center"/>
      <protection hidden="1"/>
    </xf>
    <xf numFmtId="168" fontId="28" fillId="0" borderId="0" xfId="1" applyNumberFormat="1" applyFont="1" applyFill="1" applyBorder="1" applyAlignment="1" applyProtection="1">
      <alignment horizontal="right" vertical="center"/>
      <protection hidden="1"/>
    </xf>
    <xf numFmtId="0" fontId="33" fillId="0" borderId="0" xfId="0" applyFont="1" applyAlignment="1">
      <alignment horizontal="right"/>
    </xf>
    <xf numFmtId="0" fontId="46" fillId="0" borderId="0" xfId="0" applyFont="1" applyAlignment="1">
      <alignment horizontal="center" vertical="center"/>
    </xf>
    <xf numFmtId="165" fontId="9" fillId="0" borderId="14" xfId="1" applyNumberFormat="1" applyFont="1" applyBorder="1" applyAlignment="1" applyProtection="1">
      <alignment vertical="center"/>
    </xf>
    <xf numFmtId="165" fontId="9" fillId="0" borderId="9" xfId="1" applyNumberFormat="1" applyFont="1" applyBorder="1" applyAlignment="1" applyProtection="1">
      <alignment horizontal="center" vertical="center"/>
    </xf>
    <xf numFmtId="165" fontId="9" fillId="0" borderId="10" xfId="1" applyNumberFormat="1" applyFont="1" applyBorder="1" applyAlignment="1" applyProtection="1">
      <alignment horizontal="center" vertical="center"/>
    </xf>
    <xf numFmtId="165" fontId="9" fillId="0" borderId="10" xfId="1" applyNumberFormat="1" applyFont="1" applyBorder="1" applyProtection="1"/>
    <xf numFmtId="165" fontId="11" fillId="0" borderId="23" xfId="1" applyNumberFormat="1" applyFont="1" applyBorder="1" applyAlignment="1" applyProtection="1">
      <alignment horizontal="center" vertical="center"/>
    </xf>
    <xf numFmtId="1" fontId="69" fillId="0" borderId="0" xfId="0" applyNumberFormat="1" applyFont="1" applyAlignment="1" applyProtection="1">
      <alignment horizontal="left" vertical="center"/>
      <protection hidden="1"/>
    </xf>
    <xf numFmtId="0" fontId="34" fillId="0" borderId="0" xfId="0" applyFont="1" applyAlignment="1" applyProtection="1">
      <alignment horizontal="right" vertical="center"/>
      <protection hidden="1"/>
    </xf>
    <xf numFmtId="0" fontId="21" fillId="0" borderId="0" xfId="0" applyFont="1" applyProtection="1">
      <protection hidden="1"/>
    </xf>
    <xf numFmtId="0" fontId="94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46" fillId="0" borderId="0" xfId="0" applyFont="1" applyAlignment="1" applyProtection="1">
      <alignment horizontal="left" vertical="center"/>
      <protection hidden="1"/>
    </xf>
    <xf numFmtId="0" fontId="95" fillId="0" borderId="0" xfId="0" applyFont="1" applyProtection="1">
      <protection hidden="1"/>
    </xf>
    <xf numFmtId="0" fontId="95" fillId="0" borderId="0" xfId="0" applyFont="1" applyAlignment="1" applyProtection="1">
      <alignment horizontal="left"/>
      <protection hidden="1"/>
    </xf>
    <xf numFmtId="3" fontId="94" fillId="0" borderId="0" xfId="1" applyNumberFormat="1" applyFont="1" applyBorder="1" applyAlignment="1" applyProtection="1">
      <alignment horizont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93" fillId="0" borderId="0" xfId="0" applyFont="1" applyAlignment="1" applyProtection="1">
      <alignment vertical="center"/>
      <protection hidden="1"/>
    </xf>
    <xf numFmtId="165" fontId="21" fillId="0" borderId="0" xfId="1" applyNumberFormat="1" applyFont="1" applyBorder="1" applyAlignment="1" applyProtection="1">
      <alignment vertical="center"/>
      <protection hidden="1"/>
    </xf>
    <xf numFmtId="165" fontId="46" fillId="0" borderId="0" xfId="1" applyNumberFormat="1" applyFont="1" applyBorder="1" applyAlignment="1" applyProtection="1">
      <alignment vertical="center"/>
      <protection hidden="1"/>
    </xf>
    <xf numFmtId="165" fontId="46" fillId="0" borderId="0" xfId="1" applyNumberFormat="1" applyFont="1" applyBorder="1" applyAlignment="1" applyProtection="1">
      <alignment horizontal="center" vertical="center" wrapText="1"/>
      <protection hidden="1"/>
    </xf>
    <xf numFmtId="171" fontId="95" fillId="0" borderId="0" xfId="0" applyNumberFormat="1" applyFont="1" applyAlignment="1" applyProtection="1">
      <alignment horizontal="center" vertical="center"/>
      <protection hidden="1"/>
    </xf>
    <xf numFmtId="0" fontId="97" fillId="0" borderId="0" xfId="0" applyFont="1" applyAlignment="1" applyProtection="1">
      <alignment horizontal="left" vertical="center"/>
      <protection hidden="1"/>
    </xf>
    <xf numFmtId="3" fontId="94" fillId="0" borderId="0" xfId="1" applyNumberFormat="1" applyFont="1" applyBorder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right" vertical="center"/>
      <protection hidden="1"/>
    </xf>
    <xf numFmtId="165" fontId="21" fillId="0" borderId="0" xfId="1" applyNumberFormat="1" applyFont="1" applyBorder="1" applyAlignment="1" applyProtection="1">
      <alignment horizontal="left" vertical="center"/>
      <protection hidden="1"/>
    </xf>
    <xf numFmtId="0" fontId="96" fillId="0" borderId="0" xfId="0" applyFont="1" applyAlignment="1" applyProtection="1">
      <alignment horizontal="center"/>
      <protection hidden="1"/>
    </xf>
    <xf numFmtId="169" fontId="46" fillId="0" borderId="0" xfId="0" applyNumberFormat="1" applyFont="1" applyAlignment="1" applyProtection="1">
      <alignment horizont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0" fontId="100" fillId="0" borderId="0" xfId="0" applyFont="1" applyAlignment="1">
      <alignment vertical="center"/>
    </xf>
    <xf numFmtId="0" fontId="100" fillId="0" borderId="0" xfId="0" applyFont="1" applyAlignment="1">
      <alignment horizontal="right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vertical="center"/>
    </xf>
    <xf numFmtId="0" fontId="100" fillId="0" borderId="0" xfId="0" applyFont="1" applyAlignment="1">
      <alignment horizontal="distributed" vertical="center"/>
    </xf>
    <xf numFmtId="0" fontId="101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1" fillId="0" borderId="0" xfId="0" applyFont="1" applyAlignment="1">
      <alignment horizontal="left" vertical="center"/>
    </xf>
    <xf numFmtId="0" fontId="100" fillId="0" borderId="0" xfId="0" applyFont="1" applyAlignment="1">
      <alignment horizontal="right" vertical="center"/>
    </xf>
    <xf numFmtId="165" fontId="9" fillId="0" borderId="9" xfId="1" applyNumberFormat="1" applyFont="1" applyFill="1" applyBorder="1" applyProtection="1"/>
    <xf numFmtId="165" fontId="45" fillId="9" borderId="4" xfId="1" applyNumberFormat="1" applyFont="1" applyFill="1" applyBorder="1" applyAlignment="1" applyProtection="1">
      <alignment horizontal="center" vertical="center"/>
    </xf>
    <xf numFmtId="168" fontId="69" fillId="0" borderId="0" xfId="1" applyNumberFormat="1" applyFont="1" applyFill="1" applyBorder="1" applyAlignment="1" applyProtection="1">
      <alignment horizontal="right"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9" fillId="0" borderId="20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9" fillId="0" borderId="25" xfId="0" applyFont="1" applyBorder="1" applyAlignment="1" applyProtection="1">
      <alignment vertical="center"/>
      <protection hidden="1"/>
    </xf>
    <xf numFmtId="0" fontId="21" fillId="0" borderId="6" xfId="0" applyFont="1" applyBorder="1" applyAlignment="1" applyProtection="1">
      <alignment horizontal="left" vertical="center"/>
      <protection hidden="1"/>
    </xf>
    <xf numFmtId="0" fontId="21" fillId="0" borderId="8" xfId="0" applyFont="1" applyBorder="1" applyAlignment="1" applyProtection="1">
      <alignment horizontal="left" vertical="center"/>
      <protection hidden="1"/>
    </xf>
    <xf numFmtId="0" fontId="9" fillId="0" borderId="6" xfId="0" applyFont="1" applyBorder="1" applyAlignment="1" applyProtection="1">
      <alignment horizontal="left" vertical="center"/>
      <protection hidden="1"/>
    </xf>
    <xf numFmtId="0" fontId="9" fillId="0" borderId="8" xfId="0" applyFont="1" applyBorder="1" applyAlignment="1" applyProtection="1">
      <alignment vertical="center"/>
      <protection hidden="1"/>
    </xf>
    <xf numFmtId="0" fontId="21" fillId="0" borderId="8" xfId="0" applyFont="1" applyBorder="1" applyAlignment="1" applyProtection="1">
      <alignment vertical="center"/>
      <protection hidden="1"/>
    </xf>
    <xf numFmtId="0" fontId="0" fillId="0" borderId="8" xfId="0" applyBorder="1"/>
    <xf numFmtId="165" fontId="11" fillId="0" borderId="28" xfId="1" applyNumberFormat="1" applyFont="1" applyBorder="1" applyAlignment="1" applyProtection="1">
      <alignment vertical="center"/>
      <protection hidden="1"/>
    </xf>
    <xf numFmtId="165" fontId="12" fillId="0" borderId="4" xfId="1" applyNumberFormat="1" applyFont="1" applyBorder="1" applyAlignment="1" applyProtection="1">
      <alignment horizontal="center" vertical="center"/>
      <protection hidden="1"/>
    </xf>
    <xf numFmtId="9" fontId="12" fillId="0" borderId="4" xfId="1" applyNumberFormat="1" applyFont="1" applyBorder="1" applyAlignment="1" applyProtection="1">
      <alignment horizontal="center" vertical="center"/>
      <protection hidden="1"/>
    </xf>
    <xf numFmtId="43" fontId="17" fillId="0" borderId="4" xfId="1" applyFont="1" applyBorder="1" applyAlignment="1" applyProtection="1">
      <alignment horizontal="center" vertical="center"/>
      <protection hidden="1"/>
    </xf>
    <xf numFmtId="168" fontId="9" fillId="0" borderId="4" xfId="1" applyNumberFormat="1" applyFont="1" applyBorder="1" applyAlignment="1" applyProtection="1">
      <alignment horizontal="center" vertical="center"/>
      <protection hidden="1"/>
    </xf>
    <xf numFmtId="168" fontId="11" fillId="0" borderId="4" xfId="1" applyNumberFormat="1" applyFont="1" applyBorder="1" applyAlignment="1" applyProtection="1">
      <alignment horizontal="center" vertical="center"/>
      <protection hidden="1"/>
    </xf>
    <xf numFmtId="0" fontId="48" fillId="0" borderId="4" xfId="0" applyFont="1" applyBorder="1" applyAlignment="1" applyProtection="1">
      <alignment horizontal="center" vertical="center"/>
      <protection hidden="1"/>
    </xf>
    <xf numFmtId="0" fontId="119" fillId="0" borderId="0" xfId="0" applyFont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97" fillId="0" borderId="0" xfId="0" applyFont="1" applyAlignment="1" applyProtection="1">
      <alignment horizontal="right" vertical="center"/>
      <protection hidden="1"/>
    </xf>
    <xf numFmtId="165" fontId="12" fillId="0" borderId="0" xfId="1" applyNumberFormat="1" applyFont="1" applyBorder="1" applyAlignment="1" applyProtection="1">
      <alignment vertical="center"/>
      <protection hidden="1"/>
    </xf>
    <xf numFmtId="0" fontId="43" fillId="0" borderId="0" xfId="0" applyFont="1" applyAlignment="1" applyProtection="1">
      <alignment vertical="center" readingOrder="2"/>
      <protection hidden="1"/>
    </xf>
    <xf numFmtId="165" fontId="9" fillId="0" borderId="0" xfId="1" applyNumberFormat="1" applyFont="1" applyBorder="1" applyAlignment="1" applyProtection="1">
      <alignment vertical="center"/>
      <protection hidden="1"/>
    </xf>
    <xf numFmtId="165" fontId="9" fillId="0" borderId="0" xfId="1" applyNumberFormat="1" applyFont="1" applyBorder="1" applyAlignment="1" applyProtection="1">
      <alignment horizontal="right" vertical="center"/>
      <protection hidden="1"/>
    </xf>
    <xf numFmtId="0" fontId="46" fillId="0" borderId="0" xfId="0" applyFont="1" applyAlignment="1" applyProtection="1">
      <alignment horizontal="center" vertical="center"/>
      <protection hidden="1"/>
    </xf>
    <xf numFmtId="165" fontId="9" fillId="0" borderId="0" xfId="1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right" vertical="center"/>
      <protection hidden="1"/>
    </xf>
    <xf numFmtId="0" fontId="119" fillId="0" borderId="0" xfId="0" applyFont="1" applyAlignment="1" applyProtection="1">
      <alignment vertical="center"/>
      <protection hidden="1"/>
    </xf>
    <xf numFmtId="168" fontId="11" fillId="0" borderId="0" xfId="1" applyNumberFormat="1" applyFont="1" applyBorder="1" applyAlignment="1" applyProtection="1">
      <alignment vertical="center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left"/>
    </xf>
    <xf numFmtId="165" fontId="34" fillId="0" borderId="8" xfId="1" applyNumberFormat="1" applyFont="1" applyBorder="1" applyAlignment="1" applyProtection="1">
      <alignment vertical="center"/>
      <protection hidden="1"/>
    </xf>
    <xf numFmtId="1" fontId="11" fillId="0" borderId="0" xfId="0" applyNumberFormat="1" applyFont="1" applyAlignment="1">
      <alignment vertical="center"/>
    </xf>
    <xf numFmtId="0" fontId="100" fillId="0" borderId="0" xfId="0" applyFont="1" applyAlignment="1">
      <alignment vertical="top"/>
    </xf>
    <xf numFmtId="171" fontId="46" fillId="0" borderId="0" xfId="0" applyNumberFormat="1" applyFont="1" applyAlignment="1" applyProtection="1">
      <alignment horizontal="center" vertical="center"/>
      <protection hidden="1"/>
    </xf>
    <xf numFmtId="165" fontId="109" fillId="0" borderId="0" xfId="1" applyNumberFormat="1" applyFont="1" applyBorder="1" applyAlignment="1" applyProtection="1">
      <alignment horizontal="right" vertical="center"/>
    </xf>
    <xf numFmtId="0" fontId="11" fillId="0" borderId="0" xfId="0" applyFont="1" applyAlignment="1">
      <alignment horizontal="center" vertical="center"/>
    </xf>
    <xf numFmtId="165" fontId="52" fillId="0" borderId="0" xfId="1" applyNumberFormat="1" applyFont="1" applyFill="1" applyBorder="1" applyAlignment="1" applyProtection="1">
      <alignment horizontal="center"/>
    </xf>
    <xf numFmtId="165" fontId="52" fillId="0" borderId="4" xfId="1" applyNumberFormat="1" applyFont="1" applyBorder="1" applyAlignment="1" applyProtection="1">
      <alignment horizontal="center" vertical="center"/>
    </xf>
    <xf numFmtId="165" fontId="50" fillId="0" borderId="14" xfId="1" applyNumberFormat="1" applyFont="1" applyBorder="1" applyAlignment="1" applyProtection="1">
      <alignment horizontal="right" vertical="center"/>
    </xf>
    <xf numFmtId="165" fontId="9" fillId="0" borderId="14" xfId="1" applyNumberFormat="1" applyFont="1" applyBorder="1" applyAlignment="1" applyProtection="1">
      <alignment horizontal="center" vertical="center"/>
    </xf>
    <xf numFmtId="165" fontId="49" fillId="0" borderId="8" xfId="1" applyNumberFormat="1" applyFont="1" applyBorder="1" applyAlignment="1" applyProtection="1">
      <alignment horizontal="center" vertical="center"/>
    </xf>
    <xf numFmtId="165" fontId="9" fillId="0" borderId="20" xfId="1" applyNumberFormat="1" applyFont="1" applyBorder="1" applyAlignment="1" applyProtection="1">
      <alignment horizontal="left" vertical="center"/>
    </xf>
    <xf numFmtId="165" fontId="158" fillId="0" borderId="8" xfId="1" applyNumberFormat="1" applyFont="1" applyBorder="1" applyAlignment="1" applyProtection="1">
      <alignment horizontal="center" vertical="center"/>
    </xf>
    <xf numFmtId="165" fontId="57" fillId="0" borderId="8" xfId="1" applyNumberFormat="1" applyFont="1" applyBorder="1" applyAlignment="1" applyProtection="1">
      <alignment horizontal="center" vertical="center"/>
    </xf>
    <xf numFmtId="165" fontId="57" fillId="0" borderId="4" xfId="1" applyNumberFormat="1" applyFont="1" applyBorder="1" applyAlignment="1" applyProtection="1">
      <alignment horizontal="center" vertical="center"/>
    </xf>
    <xf numFmtId="165" fontId="11" fillId="0" borderId="21" xfId="1" applyNumberFormat="1" applyFont="1" applyBorder="1" applyAlignment="1" applyProtection="1">
      <alignment horizontal="center" vertical="center"/>
    </xf>
    <xf numFmtId="165" fontId="159" fillId="0" borderId="19" xfId="1" applyNumberFormat="1" applyFont="1" applyBorder="1" applyAlignment="1" applyProtection="1">
      <alignment horizontal="center"/>
    </xf>
    <xf numFmtId="165" fontId="59" fillId="0" borderId="4" xfId="1" applyNumberFormat="1" applyFont="1" applyFill="1" applyBorder="1" applyAlignment="1" applyProtection="1">
      <alignment vertical="center"/>
    </xf>
    <xf numFmtId="165" fontId="49" fillId="0" borderId="14" xfId="1" applyNumberFormat="1" applyFont="1" applyBorder="1" applyAlignment="1" applyProtection="1">
      <alignment horizontal="center" vertical="center"/>
    </xf>
    <xf numFmtId="165" fontId="11" fillId="0" borderId="30" xfId="1" applyNumberFormat="1" applyFont="1" applyBorder="1" applyAlignment="1" applyProtection="1">
      <alignment horizontal="center" vertical="center"/>
    </xf>
    <xf numFmtId="165" fontId="9" fillId="29" borderId="4" xfId="1" applyNumberFormat="1" applyFont="1" applyFill="1" applyBorder="1" applyAlignment="1" applyProtection="1">
      <alignment horizontal="center"/>
    </xf>
    <xf numFmtId="165" fontId="154" fillId="9" borderId="4" xfId="1" applyNumberFormat="1" applyFont="1" applyFill="1" applyBorder="1" applyAlignment="1" applyProtection="1">
      <alignment horizontal="center" vertical="center"/>
    </xf>
    <xf numFmtId="165" fontId="159" fillId="0" borderId="19" xfId="1" applyNumberFormat="1" applyFont="1" applyBorder="1" applyAlignment="1" applyProtection="1">
      <alignment horizontal="center" vertical="center"/>
    </xf>
    <xf numFmtId="165" fontId="11" fillId="0" borderId="31" xfId="1" applyNumberFormat="1" applyFont="1" applyBorder="1" applyAlignment="1" applyProtection="1">
      <alignment horizontal="center" vertical="center"/>
    </xf>
    <xf numFmtId="165" fontId="184" fillId="0" borderId="29" xfId="1" applyNumberFormat="1" applyFont="1" applyBorder="1" applyAlignment="1" applyProtection="1">
      <alignment horizontal="center" vertical="center"/>
    </xf>
    <xf numFmtId="165" fontId="160" fillId="29" borderId="14" xfId="1" applyNumberFormat="1" applyFont="1" applyFill="1" applyBorder="1" applyAlignment="1" applyProtection="1">
      <alignment vertical="center"/>
    </xf>
    <xf numFmtId="165" fontId="162" fillId="0" borderId="14" xfId="1" applyNumberFormat="1" applyFont="1" applyBorder="1" applyAlignment="1" applyProtection="1">
      <alignment horizontal="center" vertical="center"/>
    </xf>
    <xf numFmtId="165" fontId="11" fillId="0" borderId="0" xfId="1" applyNumberFormat="1" applyFont="1" applyFill="1" applyBorder="1" applyProtection="1"/>
    <xf numFmtId="165" fontId="164" fillId="0" borderId="0" xfId="1" applyNumberFormat="1" applyFont="1" applyBorder="1" applyAlignment="1" applyProtection="1">
      <alignment vertical="center"/>
    </xf>
    <xf numFmtId="165" fontId="164" fillId="0" borderId="6" xfId="1" applyNumberFormat="1" applyFont="1" applyBorder="1" applyAlignment="1" applyProtection="1">
      <alignment horizontal="right" vertical="center"/>
    </xf>
    <xf numFmtId="165" fontId="59" fillId="0" borderId="0" xfId="1" applyNumberFormat="1" applyFont="1" applyBorder="1" applyAlignment="1" applyProtection="1">
      <alignment horizontal="right" vertical="center"/>
    </xf>
    <xf numFmtId="165" fontId="187" fillId="0" borderId="4" xfId="1" applyNumberFormat="1" applyFont="1" applyBorder="1" applyAlignment="1" applyProtection="1">
      <alignment vertical="center"/>
    </xf>
    <xf numFmtId="165" fontId="164" fillId="0" borderId="34" xfId="1" applyNumberFormat="1" applyFont="1" applyBorder="1" applyAlignment="1" applyProtection="1">
      <alignment horizontal="right" vertical="center"/>
    </xf>
    <xf numFmtId="165" fontId="11" fillId="0" borderId="34" xfId="1" applyNumberFormat="1" applyFont="1" applyFill="1" applyBorder="1" applyProtection="1"/>
    <xf numFmtId="165" fontId="59" fillId="0" borderId="32" xfId="1" applyNumberFormat="1" applyFont="1" applyBorder="1" applyAlignment="1" applyProtection="1">
      <alignment vertical="center"/>
    </xf>
    <xf numFmtId="165" fontId="9" fillId="0" borderId="32" xfId="1" applyNumberFormat="1" applyFont="1" applyBorder="1" applyAlignment="1" applyProtection="1">
      <alignment vertical="center"/>
    </xf>
    <xf numFmtId="165" fontId="9" fillId="0" borderId="32" xfId="1" applyNumberFormat="1" applyFont="1" applyBorder="1" applyProtection="1"/>
    <xf numFmtId="165" fontId="184" fillId="0" borderId="32" xfId="1" applyNumberFormat="1" applyFont="1" applyBorder="1" applyAlignment="1" applyProtection="1">
      <alignment horizontal="center" vertical="center"/>
    </xf>
    <xf numFmtId="165" fontId="113" fillId="0" borderId="1" xfId="1" applyNumberFormat="1" applyFont="1" applyBorder="1" applyAlignment="1" applyProtection="1">
      <alignment horizontal="right" vertical="center"/>
    </xf>
    <xf numFmtId="165" fontId="160" fillId="29" borderId="34" xfId="1" applyNumberFormat="1" applyFont="1" applyFill="1" applyBorder="1" applyProtection="1"/>
    <xf numFmtId="0" fontId="12" fillId="0" borderId="6" xfId="0" applyFont="1" applyBorder="1" applyAlignment="1" applyProtection="1">
      <alignment horizontal="left" vertical="center"/>
      <protection hidden="1"/>
    </xf>
    <xf numFmtId="165" fontId="16" fillId="0" borderId="4" xfId="1" applyNumberFormat="1" applyFont="1" applyFill="1" applyBorder="1" applyAlignment="1" applyProtection="1">
      <alignment horizontal="center" vertical="center"/>
      <protection locked="0"/>
    </xf>
    <xf numFmtId="0" fontId="197" fillId="0" borderId="4" xfId="0" applyFont="1" applyBorder="1" applyAlignment="1" applyProtection="1">
      <alignment horizontal="center" vertical="center"/>
      <protection locked="0"/>
    </xf>
    <xf numFmtId="1" fontId="24" fillId="5" borderId="8" xfId="0" applyNumberFormat="1" applyFont="1" applyFill="1" applyBorder="1" applyAlignment="1" applyProtection="1">
      <alignment horizontal="center" vertical="center"/>
      <protection locked="0"/>
    </xf>
    <xf numFmtId="166" fontId="176" fillId="5" borderId="4" xfId="0" applyNumberFormat="1" applyFont="1" applyFill="1" applyBorder="1" applyAlignment="1" applyProtection="1">
      <alignment horizontal="center" vertical="center"/>
      <protection locked="0"/>
    </xf>
    <xf numFmtId="165" fontId="120" fillId="5" borderId="8" xfId="1" applyNumberFormat="1" applyFont="1" applyFill="1" applyBorder="1" applyAlignment="1" applyProtection="1">
      <alignment horizontal="center" vertical="center"/>
      <protection locked="0"/>
    </xf>
    <xf numFmtId="165" fontId="120" fillId="5" borderId="4" xfId="1" applyNumberFormat="1" applyFont="1" applyFill="1" applyBorder="1" applyAlignment="1" applyProtection="1">
      <alignment horizontal="center" vertical="center"/>
      <protection locked="0"/>
    </xf>
    <xf numFmtId="0" fontId="120" fillId="5" borderId="8" xfId="0" applyFont="1" applyFill="1" applyBorder="1" applyAlignment="1" applyProtection="1">
      <alignment horizontal="center" vertical="center"/>
      <protection locked="0"/>
    </xf>
    <xf numFmtId="0" fontId="189" fillId="5" borderId="8" xfId="0" applyFont="1" applyFill="1" applyBorder="1" applyAlignment="1" applyProtection="1">
      <alignment horizontal="right" vertical="center"/>
      <protection locked="0"/>
    </xf>
    <xf numFmtId="0" fontId="189" fillId="5" borderId="24" xfId="0" applyFont="1" applyFill="1" applyBorder="1" applyAlignment="1" applyProtection="1">
      <alignment horizontal="right" vertical="center"/>
      <protection locked="0"/>
    </xf>
    <xf numFmtId="0" fontId="120" fillId="5" borderId="4" xfId="0" applyFont="1" applyFill="1" applyBorder="1" applyAlignment="1" applyProtection="1">
      <alignment horizontal="center" vertical="center"/>
      <protection locked="0"/>
    </xf>
    <xf numFmtId="165" fontId="55" fillId="5" borderId="4" xfId="1" applyNumberFormat="1" applyFont="1" applyFill="1" applyBorder="1" applyAlignment="1" applyProtection="1">
      <alignment vertical="center"/>
      <protection locked="0"/>
    </xf>
    <xf numFmtId="49" fontId="46" fillId="0" borderId="0" xfId="0" applyNumberFormat="1" applyFont="1" applyAlignment="1">
      <alignment horizontal="left" vertical="top" wrapText="1"/>
    </xf>
    <xf numFmtId="0" fontId="67" fillId="0" borderId="0" xfId="0" applyFont="1" applyAlignment="1" applyProtection="1">
      <alignment horizontal="center" vertical="center" wrapText="1"/>
      <protection hidden="1"/>
    </xf>
    <xf numFmtId="0" fontId="101" fillId="0" borderId="0" xfId="0" applyFont="1" applyAlignment="1">
      <alignment horizontal="center" vertical="top"/>
    </xf>
    <xf numFmtId="0" fontId="103" fillId="0" borderId="0" xfId="0" applyFont="1" applyAlignment="1">
      <alignment horizontal="center" vertical="top"/>
    </xf>
    <xf numFmtId="166" fontId="33" fillId="0" borderId="0" xfId="0" applyNumberFormat="1" applyFont="1" applyAlignment="1">
      <alignment horizontal="center" vertical="center"/>
    </xf>
    <xf numFmtId="0" fontId="202" fillId="0" borderId="0" xfId="0" applyFont="1" applyAlignment="1">
      <alignment vertical="center"/>
    </xf>
    <xf numFmtId="0" fontId="202" fillId="0" borderId="0" xfId="0" applyFont="1" applyAlignment="1">
      <alignment vertical="top"/>
    </xf>
    <xf numFmtId="0" fontId="202" fillId="0" borderId="0" xfId="0" applyFont="1" applyAlignment="1">
      <alignment horizontal="right"/>
    </xf>
    <xf numFmtId="0" fontId="33" fillId="0" borderId="0" xfId="0" applyFont="1" applyAlignment="1">
      <alignment vertical="center"/>
    </xf>
    <xf numFmtId="0" fontId="103" fillId="0" borderId="0" xfId="0" applyFont="1" applyAlignment="1">
      <alignment vertical="top"/>
    </xf>
    <xf numFmtId="0" fontId="204" fillId="0" borderId="0" xfId="0" applyFont="1"/>
    <xf numFmtId="0" fontId="102" fillId="0" borderId="0" xfId="0" applyFont="1" applyAlignment="1">
      <alignment horizontal="left" vertical="center"/>
    </xf>
    <xf numFmtId="0" fontId="61" fillId="0" borderId="0" xfId="0" applyFont="1" applyAlignment="1" applyProtection="1">
      <alignment horizontal="left" vertical="center"/>
      <protection hidden="1"/>
    </xf>
    <xf numFmtId="0" fontId="94" fillId="0" borderId="28" xfId="0" applyFont="1" applyBorder="1" applyAlignment="1" applyProtection="1">
      <alignment horizontal="center" vertical="center"/>
      <protection hidden="1"/>
    </xf>
    <xf numFmtId="0" fontId="48" fillId="0" borderId="0" xfId="0" applyFont="1" applyAlignment="1" applyProtection="1">
      <alignment horizontal="left" vertical="center"/>
      <protection hidden="1"/>
    </xf>
    <xf numFmtId="3" fontId="46" fillId="0" borderId="29" xfId="1" applyNumberFormat="1" applyFont="1" applyBorder="1" applyAlignment="1" applyProtection="1">
      <alignment horizontal="center" vertical="center"/>
      <protection hidden="1"/>
    </xf>
    <xf numFmtId="0" fontId="9" fillId="0" borderId="28" xfId="0" applyFont="1" applyBorder="1" applyAlignment="1" applyProtection="1">
      <alignment horizontal="left"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171" fontId="46" fillId="0" borderId="24" xfId="0" applyNumberFormat="1" applyFont="1" applyBorder="1" applyAlignment="1" applyProtection="1">
      <alignment horizontal="center" vertical="center"/>
      <protection hidden="1"/>
    </xf>
    <xf numFmtId="0" fontId="98" fillId="0" borderId="6" xfId="0" applyFont="1" applyBorder="1" applyAlignment="1" applyProtection="1">
      <alignment vertical="center"/>
      <protection hidden="1"/>
    </xf>
    <xf numFmtId="0" fontId="98" fillId="0" borderId="7" xfId="0" applyFont="1" applyBorder="1" applyAlignment="1" applyProtection="1">
      <alignment vertical="center"/>
      <protection hidden="1"/>
    </xf>
    <xf numFmtId="165" fontId="34" fillId="0" borderId="8" xfId="1" applyNumberFormat="1" applyFont="1" applyBorder="1" applyAlignment="1" applyProtection="1">
      <alignment horizontal="right" vertical="center"/>
      <protection hidden="1"/>
    </xf>
    <xf numFmtId="0" fontId="119" fillId="0" borderId="20" xfId="0" applyFont="1" applyBorder="1" applyAlignment="1" applyProtection="1">
      <alignment horizontal="left" vertical="center"/>
      <protection hidden="1"/>
    </xf>
    <xf numFmtId="0" fontId="43" fillId="0" borderId="28" xfId="0" applyFont="1" applyBorder="1" applyAlignment="1" applyProtection="1">
      <alignment horizontal="center" vertical="center"/>
      <protection hidden="1"/>
    </xf>
    <xf numFmtId="0" fontId="21" fillId="0" borderId="28" xfId="0" applyFont="1" applyBorder="1" applyAlignment="1" applyProtection="1">
      <alignment vertical="center"/>
      <protection hidden="1"/>
    </xf>
    <xf numFmtId="165" fontId="94" fillId="0" borderId="14" xfId="1" applyNumberFormat="1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horizontal="left" vertical="center"/>
      <protection hidden="1"/>
    </xf>
    <xf numFmtId="165" fontId="9" fillId="0" borderId="29" xfId="1" applyNumberFormat="1" applyFont="1" applyBorder="1" applyAlignment="1" applyProtection="1">
      <alignment vertical="center"/>
      <protection hidden="1"/>
    </xf>
    <xf numFmtId="0" fontId="11" fillId="0" borderId="1" xfId="0" applyFont="1" applyBorder="1" applyAlignment="1" applyProtection="1">
      <alignment horizontal="right" vertical="center"/>
      <protection hidden="1"/>
    </xf>
    <xf numFmtId="165" fontId="9" fillId="0" borderId="24" xfId="1" applyNumberFormat="1" applyFont="1" applyBorder="1" applyAlignment="1" applyProtection="1">
      <alignment vertical="center"/>
      <protection hidden="1"/>
    </xf>
    <xf numFmtId="165" fontId="11" fillId="0" borderId="0" xfId="1" applyNumberFormat="1" applyFont="1" applyBorder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right" vertical="center"/>
      <protection hidden="1"/>
    </xf>
    <xf numFmtId="165" fontId="9" fillId="0" borderId="7" xfId="1" applyNumberFormat="1" applyFont="1" applyBorder="1" applyAlignment="1" applyProtection="1">
      <alignment vertical="center"/>
      <protection hidden="1"/>
    </xf>
    <xf numFmtId="0" fontId="9" fillId="0" borderId="36" xfId="0" applyFont="1" applyBorder="1" applyAlignment="1" applyProtection="1">
      <alignment horizontal="left" vertical="center"/>
      <protection hidden="1"/>
    </xf>
    <xf numFmtId="0" fontId="46" fillId="0" borderId="36" xfId="0" applyFont="1" applyBorder="1" applyAlignment="1" applyProtection="1">
      <alignment horizontal="left" vertical="center"/>
      <protection hidden="1"/>
    </xf>
    <xf numFmtId="165" fontId="9" fillId="0" borderId="36" xfId="1" applyNumberFormat="1" applyFont="1" applyBorder="1" applyAlignment="1" applyProtection="1">
      <alignment vertical="center"/>
      <protection hidden="1"/>
    </xf>
    <xf numFmtId="0" fontId="43" fillId="0" borderId="28" xfId="0" applyFont="1" applyBorder="1" applyAlignment="1" applyProtection="1">
      <alignment vertical="center"/>
      <protection hidden="1"/>
    </xf>
    <xf numFmtId="165" fontId="207" fillId="0" borderId="14" xfId="1" applyNumberFormat="1" applyFont="1" applyBorder="1" applyAlignment="1" applyProtection="1">
      <alignment horizontal="center" vertical="center"/>
    </xf>
    <xf numFmtId="165" fontId="9" fillId="0" borderId="35" xfId="1" applyNumberFormat="1" applyFont="1" applyFill="1" applyBorder="1" applyProtection="1"/>
    <xf numFmtId="165" fontId="159" fillId="4" borderId="32" xfId="1" applyNumberFormat="1" applyFont="1" applyFill="1" applyBorder="1" applyAlignment="1" applyProtection="1">
      <alignment horizontal="center" vertical="center"/>
    </xf>
    <xf numFmtId="165" fontId="186" fillId="4" borderId="32" xfId="1" applyNumberFormat="1" applyFont="1" applyFill="1" applyBorder="1" applyAlignment="1" applyProtection="1">
      <alignment horizontal="center" vertical="center"/>
    </xf>
    <xf numFmtId="165" fontId="159" fillId="4" borderId="32" xfId="1" applyNumberFormat="1" applyFont="1" applyFill="1" applyBorder="1" applyAlignment="1" applyProtection="1">
      <alignment horizontal="center"/>
    </xf>
    <xf numFmtId="165" fontId="11" fillId="4" borderId="32" xfId="1" applyNumberFormat="1" applyFont="1" applyFill="1" applyBorder="1" applyAlignment="1" applyProtection="1">
      <alignment vertical="center"/>
    </xf>
    <xf numFmtId="165" fontId="11" fillId="4" borderId="32" xfId="1" applyNumberFormat="1" applyFont="1" applyFill="1" applyBorder="1" applyAlignment="1" applyProtection="1">
      <alignment horizontal="center" vertical="center"/>
    </xf>
    <xf numFmtId="165" fontId="11" fillId="4" borderId="4" xfId="1" applyNumberFormat="1" applyFont="1" applyFill="1" applyBorder="1" applyAlignment="1" applyProtection="1">
      <alignment vertical="center"/>
    </xf>
    <xf numFmtId="165" fontId="11" fillId="4" borderId="4" xfId="1" applyNumberFormat="1" applyFont="1" applyFill="1" applyBorder="1" applyAlignment="1" applyProtection="1">
      <alignment horizontal="center" vertical="center"/>
    </xf>
    <xf numFmtId="165" fontId="11" fillId="4" borderId="24" xfId="1" applyNumberFormat="1" applyFont="1" applyFill="1" applyBorder="1" applyProtection="1"/>
    <xf numFmtId="165" fontId="11" fillId="4" borderId="4" xfId="1" applyNumberFormat="1" applyFont="1" applyFill="1" applyBorder="1" applyProtection="1"/>
    <xf numFmtId="165" fontId="11" fillId="4" borderId="34" xfId="1" applyNumberFormat="1" applyFont="1" applyFill="1" applyBorder="1" applyProtection="1"/>
    <xf numFmtId="165" fontId="11" fillId="4" borderId="39" xfId="1" applyNumberFormat="1" applyFont="1" applyFill="1" applyBorder="1" applyProtection="1"/>
    <xf numFmtId="165" fontId="212" fillId="28" borderId="32" xfId="1" applyNumberFormat="1" applyFont="1" applyFill="1" applyBorder="1" applyAlignment="1" applyProtection="1">
      <alignment horizontal="center" vertical="center"/>
      <protection locked="0"/>
    </xf>
    <xf numFmtId="165" fontId="107" fillId="5" borderId="4" xfId="1" applyNumberFormat="1" applyFont="1" applyFill="1" applyBorder="1" applyAlignment="1" applyProtection="1">
      <alignment horizontal="center" vertical="center" wrapText="1"/>
      <protection locked="0"/>
    </xf>
    <xf numFmtId="0" fontId="34" fillId="0" borderId="6" xfId="0" applyFont="1" applyBorder="1" applyAlignment="1" applyProtection="1">
      <alignment horizontal="center" vertical="center"/>
      <protection hidden="1"/>
    </xf>
    <xf numFmtId="0" fontId="46" fillId="0" borderId="29" xfId="0" applyFont="1" applyBorder="1" applyAlignment="1" applyProtection="1">
      <alignment horizontal="center" vertical="center" wrapText="1"/>
      <protection hidden="1"/>
    </xf>
    <xf numFmtId="0" fontId="134" fillId="0" borderId="0" xfId="0" applyFont="1" applyAlignment="1" applyProtection="1">
      <alignment horizontal="center" vertical="center"/>
      <protection hidden="1"/>
    </xf>
    <xf numFmtId="0" fontId="11" fillId="0" borderId="36" xfId="0" applyFont="1" applyBorder="1" applyAlignment="1" applyProtection="1">
      <alignment horizontal="right" vertical="center"/>
      <protection hidden="1"/>
    </xf>
    <xf numFmtId="0" fontId="46" fillId="0" borderId="14" xfId="0" applyFont="1" applyBorder="1" applyAlignment="1" applyProtection="1">
      <alignment horizontal="center" vertical="center" shrinkToFit="1"/>
      <protection hidden="1"/>
    </xf>
    <xf numFmtId="165" fontId="91" fillId="0" borderId="0" xfId="1" applyNumberFormat="1" applyFont="1" applyBorder="1" applyAlignment="1" applyProtection="1">
      <alignment horizontal="center" vertical="center"/>
    </xf>
    <xf numFmtId="1" fontId="192" fillId="0" borderId="14" xfId="0" applyNumberFormat="1" applyFont="1" applyBorder="1" applyAlignment="1" applyProtection="1">
      <alignment horizontal="center" vertical="center" shrinkToFit="1"/>
      <protection locked="0"/>
    </xf>
    <xf numFmtId="0" fontId="196" fillId="0" borderId="4" xfId="0" applyFont="1" applyBorder="1" applyAlignment="1" applyProtection="1">
      <alignment horizontal="center" vertical="center" shrinkToFit="1"/>
      <protection locked="0"/>
    </xf>
    <xf numFmtId="0" fontId="197" fillId="0" borderId="4" xfId="0" applyFont="1" applyBorder="1" applyAlignment="1" applyProtection="1">
      <alignment horizontal="center" vertical="center" shrinkToFit="1"/>
      <protection locked="0"/>
    </xf>
    <xf numFmtId="165" fontId="195" fillId="28" borderId="8" xfId="1" applyNumberFormat="1" applyFont="1" applyFill="1" applyBorder="1" applyAlignment="1" applyProtection="1">
      <alignment horizontal="center" vertical="center" shrinkToFit="1"/>
      <protection locked="0"/>
    </xf>
    <xf numFmtId="165" fontId="195" fillId="28" borderId="4" xfId="1" applyNumberFormat="1" applyFont="1" applyFill="1" applyBorder="1" applyAlignment="1" applyProtection="1">
      <alignment horizontal="center" vertical="center" shrinkToFit="1"/>
      <protection locked="0"/>
    </xf>
    <xf numFmtId="165" fontId="195" fillId="4" borderId="4" xfId="1" applyNumberFormat="1" applyFont="1" applyFill="1" applyBorder="1" applyAlignment="1" applyProtection="1">
      <alignment horizontal="center" vertical="center" shrinkToFit="1"/>
      <protection locked="0"/>
    </xf>
    <xf numFmtId="165" fontId="195" fillId="28" borderId="4" xfId="1" applyNumberFormat="1" applyFont="1" applyFill="1" applyBorder="1" applyAlignment="1" applyProtection="1">
      <alignment horizontal="center" shrinkToFit="1"/>
      <protection locked="0"/>
    </xf>
    <xf numFmtId="165" fontId="194" fillId="28" borderId="8" xfId="1" applyNumberFormat="1" applyFont="1" applyFill="1" applyBorder="1" applyAlignment="1" applyProtection="1">
      <alignment horizontal="center" vertical="center" shrinkToFit="1"/>
      <protection locked="0"/>
    </xf>
    <xf numFmtId="165" fontId="194" fillId="28" borderId="34" xfId="1" applyNumberFormat="1" applyFont="1" applyFill="1" applyBorder="1" applyAlignment="1" applyProtection="1">
      <alignment shrinkToFit="1"/>
      <protection locked="0"/>
    </xf>
    <xf numFmtId="165" fontId="200" fillId="28" borderId="49" xfId="1" applyNumberFormat="1" applyFont="1" applyFill="1" applyBorder="1" applyAlignment="1" applyProtection="1">
      <alignment horizontal="center" vertical="center" shrinkToFit="1"/>
      <protection locked="0"/>
    </xf>
    <xf numFmtId="165" fontId="194" fillId="28" borderId="10" xfId="1" applyNumberFormat="1" applyFont="1" applyFill="1" applyBorder="1" applyAlignment="1" applyProtection="1">
      <alignment horizontal="center" vertical="center" shrinkToFit="1"/>
      <protection locked="0"/>
    </xf>
    <xf numFmtId="165" fontId="194" fillId="28" borderId="4" xfId="1" applyNumberFormat="1" applyFont="1" applyFill="1" applyBorder="1" applyAlignment="1" applyProtection="1">
      <alignment horizontal="center" vertical="center" shrinkToFit="1"/>
      <protection locked="0"/>
    </xf>
    <xf numFmtId="1" fontId="230" fillId="0" borderId="4" xfId="0" applyNumberFormat="1" applyFont="1" applyBorder="1" applyAlignment="1" applyProtection="1">
      <alignment horizontal="center" vertical="center" shrinkToFit="1"/>
      <protection locked="0"/>
    </xf>
    <xf numFmtId="49" fontId="195" fillId="0" borderId="46" xfId="1" applyNumberFormat="1" applyFont="1" applyFill="1" applyBorder="1" applyAlignment="1" applyProtection="1">
      <alignment horizontal="left" vertical="center"/>
      <protection locked="0"/>
    </xf>
    <xf numFmtId="165" fontId="12" fillId="0" borderId="41" xfId="1" applyNumberFormat="1" applyFont="1" applyBorder="1" applyAlignment="1" applyProtection="1">
      <alignment horizontal="left"/>
    </xf>
    <xf numFmtId="165" fontId="195" fillId="0" borderId="6" xfId="1" applyNumberFormat="1" applyFont="1" applyFill="1" applyBorder="1" applyAlignment="1" applyProtection="1">
      <alignment horizontal="left" vertical="top"/>
      <protection locked="0"/>
    </xf>
    <xf numFmtId="0" fontId="224" fillId="0" borderId="0" xfId="0" applyFont="1" applyAlignment="1" applyProtection="1">
      <alignment vertical="center"/>
      <protection hidden="1"/>
    </xf>
    <xf numFmtId="0" fontId="2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9" fillId="0" borderId="0" xfId="0" applyFont="1"/>
    <xf numFmtId="0" fontId="35" fillId="0" borderId="0" xfId="0" applyFont="1"/>
    <xf numFmtId="0" fontId="9" fillId="0" borderId="0" xfId="0" applyFont="1" applyAlignment="1">
      <alignment horizontal="right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justify" vertical="center"/>
    </xf>
    <xf numFmtId="49" fontId="1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" fontId="11" fillId="0" borderId="0" xfId="0" applyNumberFormat="1" applyFont="1" applyAlignment="1">
      <alignment horizontal="left" vertical="center"/>
    </xf>
    <xf numFmtId="0" fontId="34" fillId="0" borderId="0" xfId="0" applyFont="1"/>
    <xf numFmtId="0" fontId="11" fillId="0" borderId="0" xfId="0" applyFont="1" applyAlignment="1">
      <alignment horizontal="justify" vertical="top" wrapText="1"/>
    </xf>
    <xf numFmtId="0" fontId="9" fillId="0" borderId="0" xfId="0" applyFont="1" applyAlignment="1">
      <alignment horizontal="left" vertical="center" indent="4"/>
    </xf>
    <xf numFmtId="0" fontId="0" fillId="0" borderId="0" xfId="0" applyAlignment="1">
      <alignment vertical="center"/>
    </xf>
    <xf numFmtId="0" fontId="9" fillId="0" borderId="0" xfId="0" applyFont="1" applyAlignment="1">
      <alignment horizontal="justify" vertical="top" wrapText="1"/>
    </xf>
    <xf numFmtId="0" fontId="9" fillId="0" borderId="0" xfId="0" applyFont="1" applyAlignment="1">
      <alignment vertical="top" wrapText="1"/>
    </xf>
    <xf numFmtId="0" fontId="59" fillId="0" borderId="0" xfId="0" applyFont="1" applyAlignment="1">
      <alignment horizontal="right"/>
    </xf>
    <xf numFmtId="165" fontId="20" fillId="0" borderId="0" xfId="1" applyNumberFormat="1" applyFont="1" applyAlignment="1" applyProtection="1">
      <alignment horizontal="center"/>
    </xf>
    <xf numFmtId="0" fontId="59" fillId="0" borderId="0" xfId="0" applyFont="1" applyAlignment="1">
      <alignment horizontal="left"/>
    </xf>
    <xf numFmtId="49" fontId="164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234" fillId="0" borderId="0" xfId="0" applyFont="1" applyAlignment="1">
      <alignment horizontal="center" vertical="top"/>
    </xf>
    <xf numFmtId="0" fontId="91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6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29" fillId="0" borderId="0" xfId="0" applyFont="1" applyAlignment="1">
      <alignment horizontal="right" vertical="center"/>
    </xf>
    <xf numFmtId="1" fontId="208" fillId="0" borderId="0" xfId="0" applyNumberFormat="1" applyFont="1" applyAlignment="1">
      <alignment horizontal="left" vertical="center"/>
    </xf>
    <xf numFmtId="0" fontId="10" fillId="0" borderId="0" xfId="0" applyFont="1"/>
    <xf numFmtId="0" fontId="19" fillId="0" borderId="0" xfId="0" applyFont="1"/>
    <xf numFmtId="0" fontId="159" fillId="4" borderId="4" xfId="0" applyFont="1" applyFill="1" applyBorder="1" applyAlignment="1">
      <alignment horizontal="center" vertical="center" wrapText="1"/>
    </xf>
    <xf numFmtId="165" fontId="185" fillId="0" borderId="4" xfId="1" applyNumberFormat="1" applyFont="1" applyBorder="1" applyAlignment="1" applyProtection="1">
      <alignment horizontal="center" vertical="center"/>
    </xf>
    <xf numFmtId="0" fontId="46" fillId="0" borderId="20" xfId="0" applyFont="1" applyBorder="1" applyAlignment="1">
      <alignment horizontal="left"/>
    </xf>
    <xf numFmtId="0" fontId="46" fillId="0" borderId="6" xfId="0" applyFont="1" applyBorder="1" applyAlignment="1">
      <alignment horizontal="left"/>
    </xf>
    <xf numFmtId="0" fontId="46" fillId="0" borderId="6" xfId="0" applyFont="1" applyBorder="1" applyAlignment="1">
      <alignment horizontal="left" vertical="center"/>
    </xf>
    <xf numFmtId="0" fontId="11" fillId="4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5" xfId="0" applyFont="1" applyBorder="1"/>
    <xf numFmtId="0" fontId="9" fillId="0" borderId="14" xfId="0" applyFont="1" applyBorder="1" applyAlignment="1">
      <alignment horizontal="right" vertical="center"/>
    </xf>
    <xf numFmtId="0" fontId="51" fillId="0" borderId="7" xfId="0" applyFont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165" fontId="59" fillId="0" borderId="4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top"/>
    </xf>
    <xf numFmtId="0" fontId="8" fillId="0" borderId="42" xfId="0" applyFont="1" applyBorder="1"/>
    <xf numFmtId="49" fontId="122" fillId="0" borderId="43" xfId="0" applyNumberFormat="1" applyFont="1" applyBorder="1" applyAlignment="1">
      <alignment horizontal="left" vertical="center"/>
    </xf>
    <xf numFmtId="0" fontId="28" fillId="4" borderId="44" xfId="0" applyFont="1" applyFill="1" applyBorder="1" applyAlignment="1">
      <alignment horizontal="center" vertical="center"/>
    </xf>
    <xf numFmtId="0" fontId="164" fillId="0" borderId="0" xfId="0" applyFont="1" applyAlignment="1">
      <alignment horizontal="right" vertical="center"/>
    </xf>
    <xf numFmtId="165" fontId="122" fillId="0" borderId="0" xfId="0" applyNumberFormat="1" applyFont="1" applyAlignment="1">
      <alignment horizontal="center" vertical="center"/>
    </xf>
    <xf numFmtId="166" fontId="164" fillId="0" borderId="4" xfId="0" applyNumberFormat="1" applyFont="1" applyBorder="1" applyAlignment="1">
      <alignment horizontal="right" vertical="center"/>
    </xf>
    <xf numFmtId="165" fontId="122" fillId="0" borderId="0" xfId="0" applyNumberFormat="1" applyFont="1" applyAlignment="1">
      <alignment horizontal="left" vertical="center"/>
    </xf>
    <xf numFmtId="166" fontId="164" fillId="0" borderId="0" xfId="0" applyNumberFormat="1" applyFont="1" applyAlignment="1">
      <alignment horizontal="right" vertical="center"/>
    </xf>
    <xf numFmtId="0" fontId="164" fillId="0" borderId="4" xfId="0" applyFont="1" applyBorder="1" applyAlignment="1">
      <alignment horizontal="left" vertical="center"/>
    </xf>
    <xf numFmtId="165" fontId="59" fillId="0" borderId="4" xfId="0" applyNumberFormat="1" applyFont="1" applyBorder="1" applyAlignment="1">
      <alignment vertical="center"/>
    </xf>
    <xf numFmtId="0" fontId="59" fillId="0" borderId="0" xfId="0" applyFont="1" applyAlignment="1">
      <alignment horizontal="right" vertical="center"/>
    </xf>
    <xf numFmtId="0" fontId="164" fillId="0" borderId="4" xfId="0" applyFont="1" applyBorder="1" applyAlignment="1">
      <alignment vertical="center"/>
    </xf>
    <xf numFmtId="165" fontId="164" fillId="0" borderId="4" xfId="0" applyNumberFormat="1" applyFont="1" applyBorder="1" applyAlignment="1">
      <alignment vertical="center"/>
    </xf>
    <xf numFmtId="0" fontId="21" fillId="0" borderId="6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Continuous" vertical="center"/>
    </xf>
    <xf numFmtId="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top"/>
    </xf>
    <xf numFmtId="0" fontId="0" fillId="0" borderId="1" xfId="0" applyBorder="1"/>
    <xf numFmtId="0" fontId="11" fillId="0" borderId="1" xfId="0" applyFont="1" applyBorder="1" applyAlignment="1">
      <alignment horizontal="right" vertical="center"/>
    </xf>
    <xf numFmtId="0" fontId="109" fillId="0" borderId="0" xfId="0" applyFont="1" applyAlignment="1">
      <alignment horizontal="right" vertical="center"/>
    </xf>
    <xf numFmtId="0" fontId="0" fillId="0" borderId="28" xfId="0" applyBorder="1"/>
    <xf numFmtId="0" fontId="11" fillId="0" borderId="28" xfId="0" applyFont="1" applyBorder="1" applyAlignment="1">
      <alignment horizontal="right" vertical="center"/>
    </xf>
    <xf numFmtId="0" fontId="0" fillId="0" borderId="7" xfId="0" applyBorder="1"/>
    <xf numFmtId="0" fontId="34" fillId="0" borderId="7" xfId="0" applyFont="1" applyBorder="1" applyAlignment="1">
      <alignment horizontal="right" vertical="center"/>
    </xf>
    <xf numFmtId="0" fontId="110" fillId="0" borderId="0" xfId="0" applyFont="1" applyAlignment="1">
      <alignment horizontal="center" vertical="center"/>
    </xf>
    <xf numFmtId="0" fontId="223" fillId="0" borderId="0" xfId="0" applyFont="1" applyAlignment="1">
      <alignment horizontal="center" vertical="center"/>
    </xf>
    <xf numFmtId="0" fontId="103" fillId="0" borderId="0" xfId="0" applyFont="1" applyAlignment="1">
      <alignment horizontal="right" vertical="center"/>
    </xf>
    <xf numFmtId="0" fontId="34" fillId="0" borderId="0" xfId="0" applyFont="1" applyAlignment="1">
      <alignment vertical="center"/>
    </xf>
    <xf numFmtId="0" fontId="205" fillId="0" borderId="0" xfId="0" applyFont="1" applyAlignment="1">
      <alignment horizontal="distributed" vertical="center"/>
    </xf>
    <xf numFmtId="0" fontId="102" fillId="0" borderId="0" xfId="0" applyFont="1" applyAlignment="1">
      <alignment horizontal="distributed" vertical="center"/>
    </xf>
    <xf numFmtId="0" fontId="205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03" fillId="0" borderId="0" xfId="0" applyFont="1" applyAlignment="1">
      <alignment horizontal="left" vertical="center"/>
    </xf>
    <xf numFmtId="0" fontId="209" fillId="0" borderId="0" xfId="0" applyFont="1" applyAlignment="1">
      <alignment horizontal="center" vertical="top"/>
    </xf>
    <xf numFmtId="0" fontId="11" fillId="34" borderId="4" xfId="0" applyFont="1" applyFill="1" applyBorder="1" applyAlignment="1">
      <alignment horizontal="center" vertical="center"/>
    </xf>
    <xf numFmtId="0" fontId="11" fillId="34" borderId="4" xfId="0" applyFont="1" applyFill="1" applyBorder="1" applyAlignment="1">
      <alignment horizontal="center" vertical="top"/>
    </xf>
    <xf numFmtId="0" fontId="193" fillId="0" borderId="7" xfId="0" applyFont="1" applyBorder="1"/>
    <xf numFmtId="0" fontId="193" fillId="0" borderId="8" xfId="0" applyFont="1" applyBorder="1"/>
    <xf numFmtId="0" fontId="11" fillId="34" borderId="8" xfId="0" applyFont="1" applyFill="1" applyBorder="1" applyAlignment="1">
      <alignment horizontal="center" vertical="center"/>
    </xf>
    <xf numFmtId="0" fontId="201" fillId="34" borderId="4" xfId="0" applyFont="1" applyFill="1" applyBorder="1" applyAlignment="1">
      <alignment horizontal="center" vertical="center"/>
    </xf>
    <xf numFmtId="165" fontId="23" fillId="34" borderId="4" xfId="1" applyNumberFormat="1" applyFont="1" applyFill="1" applyBorder="1" applyAlignment="1" applyProtection="1">
      <alignment horizontal="center" vertical="center"/>
    </xf>
    <xf numFmtId="0" fontId="1" fillId="36" borderId="0" xfId="0" applyFont="1" applyFill="1"/>
    <xf numFmtId="0" fontId="11" fillId="34" borderId="4" xfId="0" applyFont="1" applyFill="1" applyBorder="1" applyAlignment="1">
      <alignment horizontal="center" vertical="center" wrapText="1"/>
    </xf>
    <xf numFmtId="0" fontId="11" fillId="34" borderId="6" xfId="0" applyFont="1" applyFill="1" applyBorder="1" applyAlignment="1">
      <alignment horizontal="center" vertical="center"/>
    </xf>
    <xf numFmtId="0" fontId="14" fillId="34" borderId="4" xfId="0" applyFont="1" applyFill="1" applyBorder="1" applyAlignment="1">
      <alignment horizontal="center" vertical="center" wrapText="1"/>
    </xf>
    <xf numFmtId="10" fontId="1" fillId="36" borderId="0" xfId="0" applyNumberFormat="1" applyFont="1" applyFill="1"/>
    <xf numFmtId="0" fontId="56" fillId="34" borderId="6" xfId="0" applyFont="1" applyFill="1" applyBorder="1"/>
    <xf numFmtId="0" fontId="34" fillId="34" borderId="8" xfId="0" applyFont="1" applyFill="1" applyBorder="1" applyAlignment="1">
      <alignment horizontal="right" vertical="center"/>
    </xf>
    <xf numFmtId="0" fontId="34" fillId="34" borderId="8" xfId="0" applyFont="1" applyFill="1" applyBorder="1" applyAlignment="1">
      <alignment horizontal="center" vertical="center" wrapText="1"/>
    </xf>
    <xf numFmtId="0" fontId="34" fillId="34" borderId="4" xfId="0" applyFont="1" applyFill="1" applyBorder="1" applyAlignment="1">
      <alignment horizontal="center" vertical="center" wrapText="1"/>
    </xf>
    <xf numFmtId="0" fontId="31" fillId="5" borderId="6" xfId="0" applyFont="1" applyFill="1" applyBorder="1"/>
    <xf numFmtId="0" fontId="189" fillId="5" borderId="8" xfId="0" applyFont="1" applyFill="1" applyBorder="1" applyAlignment="1">
      <alignment horizontal="right" vertical="center"/>
    </xf>
    <xf numFmtId="0" fontId="31" fillId="5" borderId="25" xfId="0" applyFont="1" applyFill="1" applyBorder="1"/>
    <xf numFmtId="165" fontId="219" fillId="34" borderId="4" xfId="1" applyNumberFormat="1" applyFont="1" applyFill="1" applyBorder="1" applyAlignment="1" applyProtection="1">
      <alignment horizontal="center" vertical="center" shrinkToFit="1"/>
    </xf>
    <xf numFmtId="0" fontId="214" fillId="23" borderId="25" xfId="0" applyFont="1" applyFill="1" applyBorder="1" applyAlignment="1">
      <alignment vertical="center"/>
    </xf>
    <xf numFmtId="0" fontId="214" fillId="23" borderId="1" xfId="0" applyFont="1" applyFill="1" applyBorder="1" applyAlignment="1">
      <alignment vertical="center"/>
    </xf>
    <xf numFmtId="0" fontId="228" fillId="23" borderId="24" xfId="0" applyFont="1" applyFill="1" applyBorder="1" applyAlignment="1">
      <alignment horizontal="right" vertical="center"/>
    </xf>
    <xf numFmtId="165" fontId="152" fillId="34" borderId="8" xfId="1" applyNumberFormat="1" applyFont="1" applyFill="1" applyBorder="1" applyAlignment="1" applyProtection="1">
      <alignment horizontal="center" vertical="center"/>
    </xf>
    <xf numFmtId="165" fontId="152" fillId="34" borderId="4" xfId="1" applyNumberFormat="1" applyFont="1" applyFill="1" applyBorder="1" applyAlignment="1" applyProtection="1">
      <alignment horizontal="center" vertical="center"/>
    </xf>
    <xf numFmtId="165" fontId="34" fillId="34" borderId="8" xfId="1" applyNumberFormat="1" applyFont="1" applyFill="1" applyBorder="1" applyAlignment="1" applyProtection="1">
      <alignment horizontal="left" vertical="center"/>
    </xf>
    <xf numFmtId="0" fontId="153" fillId="34" borderId="4" xfId="0" applyFont="1" applyFill="1" applyBorder="1" applyAlignment="1">
      <alignment horizontal="center" vertical="center" wrapText="1"/>
    </xf>
    <xf numFmtId="0" fontId="190" fillId="34" borderId="4" xfId="0" applyFont="1" applyFill="1" applyBorder="1" applyAlignment="1">
      <alignment horizontal="center" vertical="center"/>
    </xf>
    <xf numFmtId="0" fontId="175" fillId="34" borderId="4" xfId="0" applyFont="1" applyFill="1" applyBorder="1" applyAlignment="1">
      <alignment horizontal="center" vertical="center"/>
    </xf>
    <xf numFmtId="165" fontId="181" fillId="34" borderId="4" xfId="1" applyNumberFormat="1" applyFont="1" applyFill="1" applyBorder="1" applyAlignment="1" applyProtection="1">
      <alignment horizontal="center" vertical="center"/>
    </xf>
    <xf numFmtId="0" fontId="216" fillId="34" borderId="6" xfId="0" applyFont="1" applyFill="1" applyBorder="1"/>
    <xf numFmtId="165" fontId="235" fillId="34" borderId="8" xfId="1" applyNumberFormat="1" applyFont="1" applyFill="1" applyBorder="1" applyAlignment="1" applyProtection="1">
      <alignment horizontal="right" vertical="center"/>
    </xf>
    <xf numFmtId="165" fontId="181" fillId="34" borderId="8" xfId="1" applyNumberFormat="1" applyFont="1" applyFill="1" applyBorder="1" applyAlignment="1" applyProtection="1">
      <alignment horizontal="center" vertical="center" shrinkToFit="1"/>
    </xf>
    <xf numFmtId="0" fontId="175" fillId="34" borderId="4" xfId="0" applyFont="1" applyFill="1" applyBorder="1" applyAlignment="1">
      <alignment horizontal="right" vertical="center"/>
    </xf>
    <xf numFmtId="0" fontId="181" fillId="34" borderId="4" xfId="0" applyFont="1" applyFill="1" applyBorder="1" applyAlignment="1">
      <alignment horizontal="center" vertical="center"/>
    </xf>
    <xf numFmtId="165" fontId="220" fillId="34" borderId="4" xfId="1" applyNumberFormat="1" applyFont="1" applyFill="1" applyBorder="1" applyAlignment="1" applyProtection="1">
      <alignment horizontal="center" vertical="center" wrapText="1"/>
    </xf>
    <xf numFmtId="165" fontId="191" fillId="34" borderId="4" xfId="1" applyNumberFormat="1" applyFont="1" applyFill="1" applyBorder="1" applyAlignment="1" applyProtection="1">
      <alignment horizontal="center" vertical="center"/>
    </xf>
    <xf numFmtId="0" fontId="1" fillId="5" borderId="6" xfId="0" applyFont="1" applyFill="1" applyBorder="1"/>
    <xf numFmtId="165" fontId="195" fillId="32" borderId="4" xfId="1" applyNumberFormat="1" applyFont="1" applyFill="1" applyBorder="1" applyAlignment="1" applyProtection="1">
      <alignment horizontal="center" vertical="center" shrinkToFit="1"/>
    </xf>
    <xf numFmtId="0" fontId="180" fillId="34" borderId="33" xfId="0" applyFont="1" applyFill="1" applyBorder="1"/>
    <xf numFmtId="0" fontId="180" fillId="34" borderId="2" xfId="0" applyFont="1" applyFill="1" applyBorder="1"/>
    <xf numFmtId="165" fontId="152" fillId="34" borderId="34" xfId="1" applyNumberFormat="1" applyFont="1" applyFill="1" applyBorder="1" applyAlignment="1" applyProtection="1">
      <alignment horizontal="right" vertical="center"/>
    </xf>
    <xf numFmtId="165" fontId="175" fillId="34" borderId="32" xfId="1" applyNumberFormat="1" applyFont="1" applyFill="1" applyBorder="1" applyAlignment="1" applyProtection="1">
      <alignment horizontal="center" vertical="center"/>
    </xf>
    <xf numFmtId="0" fontId="1" fillId="5" borderId="5" xfId="0" applyFont="1" applyFill="1" applyBorder="1"/>
    <xf numFmtId="0" fontId="189" fillId="5" borderId="29" xfId="0" applyFont="1" applyFill="1" applyBorder="1" applyAlignment="1">
      <alignment horizontal="right" vertical="center"/>
    </xf>
    <xf numFmtId="165" fontId="182" fillId="34" borderId="10" xfId="1" applyNumberFormat="1" applyFont="1" applyFill="1" applyBorder="1" applyAlignment="1" applyProtection="1">
      <alignment horizontal="right" vertical="center"/>
    </xf>
    <xf numFmtId="165" fontId="175" fillId="34" borderId="10" xfId="1" applyNumberFormat="1" applyFont="1" applyFill="1" applyBorder="1" applyAlignment="1" applyProtection="1">
      <alignment horizontal="center" vertical="center" shrinkToFit="1"/>
    </xf>
    <xf numFmtId="165" fontId="181" fillId="34" borderId="10" xfId="1" applyNumberFormat="1" applyFont="1" applyFill="1" applyBorder="1" applyAlignment="1" applyProtection="1">
      <alignment horizontal="right" vertical="center"/>
    </xf>
    <xf numFmtId="165" fontId="34" fillId="34" borderId="8" xfId="1" applyNumberFormat="1" applyFont="1" applyFill="1" applyBorder="1" applyAlignment="1" applyProtection="1">
      <alignment horizontal="right" vertical="center"/>
    </xf>
    <xf numFmtId="165" fontId="152" fillId="34" borderId="8" xfId="1" applyNumberFormat="1" applyFont="1" applyFill="1" applyBorder="1" applyAlignment="1" applyProtection="1">
      <alignment horizontal="center" vertical="center" shrinkToFit="1"/>
    </xf>
    <xf numFmtId="165" fontId="152" fillId="34" borderId="4" xfId="1" applyNumberFormat="1" applyFont="1" applyFill="1" applyBorder="1" applyAlignment="1" applyProtection="1">
      <alignment horizontal="center" vertical="center" shrinkToFit="1"/>
    </xf>
    <xf numFmtId="165" fontId="182" fillId="34" borderId="4" xfId="1" applyNumberFormat="1" applyFont="1" applyFill="1" applyBorder="1" applyAlignment="1" applyProtection="1">
      <alignment horizontal="right" vertical="center"/>
    </xf>
    <xf numFmtId="165" fontId="175" fillId="34" borderId="4" xfId="1" applyNumberFormat="1" applyFont="1" applyFill="1" applyBorder="1" applyAlignment="1" applyProtection="1">
      <alignment horizontal="center" vertical="center" shrinkToFit="1"/>
    </xf>
    <xf numFmtId="165" fontId="181" fillId="34" borderId="4" xfId="1" applyNumberFormat="1" applyFont="1" applyFill="1" applyBorder="1" applyAlignment="1" applyProtection="1">
      <alignment horizontal="right" vertical="center"/>
    </xf>
    <xf numFmtId="165" fontId="182" fillId="34" borderId="4" xfId="1" applyNumberFormat="1" applyFont="1" applyFill="1" applyBorder="1" applyAlignment="1" applyProtection="1">
      <alignment horizontal="center" vertical="center"/>
    </xf>
    <xf numFmtId="165" fontId="152" fillId="34" borderId="4" xfId="1" applyNumberFormat="1" applyFont="1" applyFill="1" applyBorder="1" applyAlignment="1" applyProtection="1">
      <alignment horizontal="center" shrinkToFit="1"/>
    </xf>
    <xf numFmtId="0" fontId="178" fillId="34" borderId="33" xfId="0" applyFont="1" applyFill="1" applyBorder="1"/>
    <xf numFmtId="165" fontId="154" fillId="34" borderId="2" xfId="1" applyNumberFormat="1" applyFont="1" applyFill="1" applyBorder="1" applyAlignment="1" applyProtection="1">
      <alignment horizontal="center" vertical="center"/>
    </xf>
    <xf numFmtId="165" fontId="179" fillId="34" borderId="32" xfId="1" applyNumberFormat="1" applyFont="1" applyFill="1" applyBorder="1" applyAlignment="1" applyProtection="1">
      <alignment vertical="center"/>
    </xf>
    <xf numFmtId="165" fontId="24" fillId="34" borderId="32" xfId="1" applyNumberFormat="1" applyFont="1" applyFill="1" applyBorder="1" applyAlignment="1" applyProtection="1">
      <alignment horizontal="center" vertical="center" shrinkToFit="1"/>
    </xf>
    <xf numFmtId="165" fontId="152" fillId="7" borderId="45" xfId="1" applyNumberFormat="1" applyFont="1" applyFill="1" applyBorder="1" applyAlignment="1" applyProtection="1">
      <alignment horizontal="center" vertical="center"/>
    </xf>
    <xf numFmtId="49" fontId="177" fillId="0" borderId="36" xfId="1" applyNumberFormat="1" applyFont="1" applyFill="1" applyBorder="1" applyAlignment="1" applyProtection="1">
      <alignment horizontal="left"/>
    </xf>
    <xf numFmtId="49" fontId="177" fillId="0" borderId="47" xfId="1" applyNumberFormat="1" applyFont="1" applyFill="1" applyBorder="1" applyAlignment="1" applyProtection="1">
      <alignment horizontal="left"/>
    </xf>
    <xf numFmtId="165" fontId="34" fillId="2" borderId="4" xfId="1" applyNumberFormat="1" applyFont="1" applyFill="1" applyBorder="1" applyAlignment="1" applyProtection="1">
      <alignment horizontal="center" vertical="center"/>
    </xf>
    <xf numFmtId="0" fontId="34" fillId="34" borderId="7" xfId="0" applyFont="1" applyFill="1" applyBorder="1" applyAlignment="1">
      <alignment horizontal="center" vertical="center" wrapText="1"/>
    </xf>
    <xf numFmtId="165" fontId="11" fillId="34" borderId="8" xfId="1" applyNumberFormat="1" applyFont="1" applyFill="1" applyBorder="1" applyAlignment="1" applyProtection="1">
      <alignment horizontal="center" vertical="center" shrinkToFit="1"/>
    </xf>
    <xf numFmtId="165" fontId="241" fillId="34" borderId="4" xfId="1" applyNumberFormat="1" applyFont="1" applyFill="1" applyBorder="1" applyAlignment="1" applyProtection="1">
      <alignment horizontal="center" vertical="center"/>
    </xf>
    <xf numFmtId="0" fontId="227" fillId="0" borderId="0" xfId="0" applyFont="1" applyAlignment="1">
      <alignment vertical="top" wrapText="1"/>
    </xf>
    <xf numFmtId="0" fontId="225" fillId="7" borderId="6" xfId="0" applyFont="1" applyFill="1" applyBorder="1" applyAlignment="1">
      <alignment horizontal="left" vertical="center"/>
    </xf>
    <xf numFmtId="0" fontId="225" fillId="7" borderId="8" xfId="0" applyFont="1" applyFill="1" applyBorder="1" applyAlignment="1">
      <alignment horizontal="left" vertical="center"/>
    </xf>
    <xf numFmtId="165" fontId="195" fillId="0" borderId="4" xfId="1" applyNumberFormat="1" applyFont="1" applyFill="1" applyBorder="1" applyAlignment="1" applyProtection="1">
      <alignment horizontal="center" vertical="center"/>
      <protection locked="0"/>
    </xf>
    <xf numFmtId="0" fontId="198" fillId="0" borderId="4" xfId="0" applyFont="1" applyBorder="1" applyAlignment="1" applyProtection="1">
      <alignment horizontal="center" vertical="center" wrapText="1"/>
      <protection locked="0"/>
    </xf>
    <xf numFmtId="0" fontId="107" fillId="5" borderId="4" xfId="0" applyFont="1" applyFill="1" applyBorder="1" applyAlignment="1" applyProtection="1">
      <alignment horizontal="center" vertical="center"/>
      <protection locked="0"/>
    </xf>
    <xf numFmtId="0" fontId="15" fillId="5" borderId="4" xfId="0" applyFont="1" applyFill="1" applyBorder="1" applyAlignment="1" applyProtection="1">
      <alignment horizontal="center" vertical="center"/>
      <protection locked="0"/>
    </xf>
    <xf numFmtId="0" fontId="199" fillId="0" borderId="4" xfId="0" applyFont="1" applyBorder="1" applyAlignment="1" applyProtection="1">
      <alignment horizontal="right" vertical="center"/>
      <protection locked="0"/>
    </xf>
    <xf numFmtId="0" fontId="1" fillId="6" borderId="6" xfId="0" applyFont="1" applyFill="1" applyBorder="1"/>
    <xf numFmtId="165" fontId="235" fillId="6" borderId="8" xfId="1" applyNumberFormat="1" applyFont="1" applyFill="1" applyBorder="1" applyAlignment="1" applyProtection="1">
      <alignment horizontal="right" vertical="center"/>
    </xf>
    <xf numFmtId="0" fontId="237" fillId="6" borderId="4" xfId="0" applyFont="1" applyFill="1" applyBorder="1"/>
    <xf numFmtId="165" fontId="238" fillId="6" borderId="4" xfId="1" applyNumberFormat="1" applyFont="1" applyFill="1" applyBorder="1" applyAlignment="1" applyProtection="1">
      <alignment horizontal="right" vertical="center"/>
    </xf>
    <xf numFmtId="0" fontId="237" fillId="6" borderId="6" xfId="0" applyFont="1" applyFill="1" applyBorder="1"/>
    <xf numFmtId="165" fontId="238" fillId="6" borderId="8" xfId="1" applyNumberFormat="1" applyFont="1" applyFill="1" applyBorder="1" applyAlignment="1" applyProtection="1">
      <alignment horizontal="right" vertical="center"/>
    </xf>
    <xf numFmtId="0" fontId="237" fillId="6" borderId="33" xfId="0" applyFont="1" applyFill="1" applyBorder="1"/>
    <xf numFmtId="165" fontId="238" fillId="6" borderId="34" xfId="1" applyNumberFormat="1" applyFont="1" applyFill="1" applyBorder="1" applyAlignment="1" applyProtection="1">
      <alignment horizontal="right" vertical="center"/>
    </xf>
    <xf numFmtId="0" fontId="237" fillId="6" borderId="48" xfId="0" applyFont="1" applyFill="1" applyBorder="1"/>
    <xf numFmtId="165" fontId="239" fillId="6" borderId="47" xfId="1" applyNumberFormat="1" applyFont="1" applyFill="1" applyBorder="1" applyAlignment="1" applyProtection="1">
      <alignment horizontal="right" vertical="center"/>
    </xf>
    <xf numFmtId="0" fontId="241" fillId="6" borderId="6" xfId="0" applyFont="1" applyFill="1" applyBorder="1" applyAlignment="1">
      <alignment horizontal="center" vertical="center" wrapText="1"/>
    </xf>
    <xf numFmtId="0" fontId="183" fillId="6" borderId="7" xfId="0" applyFont="1" applyFill="1" applyBorder="1"/>
    <xf numFmtId="0" fontId="183" fillId="6" borderId="5" xfId="0" applyFont="1" applyFill="1" applyBorder="1"/>
    <xf numFmtId="0" fontId="183" fillId="6" borderId="0" xfId="0" applyFont="1" applyFill="1"/>
    <xf numFmtId="0" fontId="240" fillId="6" borderId="29" xfId="0" applyFont="1" applyFill="1" applyBorder="1" applyAlignment="1">
      <alignment horizontal="right" vertical="center"/>
    </xf>
    <xf numFmtId="0" fontId="238" fillId="6" borderId="29" xfId="0" applyFont="1" applyFill="1" applyBorder="1" applyAlignment="1">
      <alignment horizontal="right" vertical="center"/>
    </xf>
    <xf numFmtId="0" fontId="183" fillId="6" borderId="25" xfId="0" applyFont="1" applyFill="1" applyBorder="1"/>
    <xf numFmtId="0" fontId="183" fillId="6" borderId="1" xfId="0" applyFont="1" applyFill="1" applyBorder="1"/>
    <xf numFmtId="0" fontId="238" fillId="6" borderId="24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92" fillId="9" borderId="4" xfId="0" applyFont="1" applyFill="1" applyBorder="1" applyAlignment="1">
      <alignment horizontal="center" vertical="center"/>
    </xf>
    <xf numFmtId="0" fontId="121" fillId="6" borderId="4" xfId="0" applyFont="1" applyFill="1" applyBorder="1" applyAlignment="1">
      <alignment horizontal="center" vertical="center"/>
    </xf>
    <xf numFmtId="0" fontId="92" fillId="22" borderId="4" xfId="0" applyFont="1" applyFill="1" applyBorder="1" applyAlignment="1">
      <alignment horizontal="center" vertical="center"/>
    </xf>
    <xf numFmtId="165" fontId="24" fillId="2" borderId="4" xfId="1" applyNumberFormat="1" applyFont="1" applyFill="1" applyBorder="1" applyAlignment="1" applyProtection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165" fontId="116" fillId="6" borderId="6" xfId="1" applyNumberFormat="1" applyFont="1" applyFill="1" applyBorder="1" applyAlignment="1" applyProtection="1">
      <alignment horizontal="center" vertical="center"/>
    </xf>
    <xf numFmtId="165" fontId="151" fillId="6" borderId="9" xfId="1" applyNumberFormat="1" applyFont="1" applyFill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165" fontId="12" fillId="6" borderId="6" xfId="0" applyNumberFormat="1" applyFont="1" applyFill="1" applyBorder="1" applyAlignment="1">
      <alignment vertical="center"/>
    </xf>
    <xf numFmtId="165" fontId="12" fillId="6" borderId="8" xfId="0" applyNumberFormat="1" applyFont="1" applyFill="1" applyBorder="1" applyAlignment="1">
      <alignment vertical="center"/>
    </xf>
    <xf numFmtId="165" fontId="14" fillId="10" borderId="8" xfId="0" applyNumberFormat="1" applyFont="1" applyFill="1" applyBorder="1" applyAlignment="1">
      <alignment vertical="center"/>
    </xf>
    <xf numFmtId="165" fontId="12" fillId="10" borderId="4" xfId="0" applyNumberFormat="1" applyFont="1" applyFill="1" applyBorder="1" applyAlignment="1">
      <alignment vertical="center"/>
    </xf>
    <xf numFmtId="165" fontId="12" fillId="4" borderId="4" xfId="0" applyNumberFormat="1" applyFont="1" applyFill="1" applyBorder="1" applyAlignment="1">
      <alignment horizontal="center" vertical="center"/>
    </xf>
    <xf numFmtId="10" fontId="12" fillId="11" borderId="4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2" fillId="10" borderId="6" xfId="0" applyFont="1" applyFill="1" applyBorder="1" applyAlignment="1">
      <alignment horizontal="center"/>
    </xf>
    <xf numFmtId="0" fontId="0" fillId="10" borderId="8" xfId="0" applyFill="1" applyBorder="1"/>
    <xf numFmtId="0" fontId="43" fillId="9" borderId="4" xfId="0" applyFont="1" applyFill="1" applyBorder="1" applyAlignment="1">
      <alignment horizontal="center" vertical="center"/>
    </xf>
    <xf numFmtId="165" fontId="151" fillId="6" borderId="15" xfId="1" applyNumberFormat="1" applyFont="1" applyFill="1" applyBorder="1" applyAlignment="1" applyProtection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4" xfId="0" quotePrefix="1" applyFont="1" applyFill="1" applyBorder="1" applyAlignment="1">
      <alignment horizontal="center" vertical="center"/>
    </xf>
    <xf numFmtId="165" fontId="12" fillId="6" borderId="20" xfId="0" applyNumberFormat="1" applyFont="1" applyFill="1" applyBorder="1" applyAlignment="1">
      <alignment vertical="center"/>
    </xf>
    <xf numFmtId="165" fontId="12" fillId="6" borderId="14" xfId="0" applyNumberFormat="1" applyFont="1" applyFill="1" applyBorder="1" applyAlignment="1">
      <alignment vertical="center"/>
    </xf>
    <xf numFmtId="165" fontId="12" fillId="10" borderId="8" xfId="0" applyNumberFormat="1" applyFont="1" applyFill="1" applyBorder="1" applyAlignment="1">
      <alignment vertical="center"/>
    </xf>
    <xf numFmtId="165" fontId="15" fillId="10" borderId="4" xfId="0" applyNumberFormat="1" applyFont="1" applyFill="1" applyBorder="1" applyAlignment="1">
      <alignment vertical="center"/>
    </xf>
    <xf numFmtId="165" fontId="30" fillId="10" borderId="25" xfId="1" applyNumberFormat="1" applyFont="1" applyFill="1" applyBorder="1" applyAlignment="1" applyProtection="1">
      <alignment horizontal="left" vertical="center"/>
    </xf>
    <xf numFmtId="165" fontId="30" fillId="10" borderId="10" xfId="1" applyNumberFormat="1" applyFont="1" applyFill="1" applyBorder="1" applyAlignment="1" applyProtection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5" fontId="18" fillId="10" borderId="8" xfId="0" applyNumberFormat="1" applyFont="1" applyFill="1" applyBorder="1" applyAlignment="1">
      <alignment vertical="center"/>
    </xf>
    <xf numFmtId="0" fontId="19" fillId="6" borderId="4" xfId="0" applyFont="1" applyFill="1" applyBorder="1" applyAlignment="1">
      <alignment horizontal="center" vertical="center"/>
    </xf>
    <xf numFmtId="165" fontId="14" fillId="6" borderId="4" xfId="1" applyNumberFormat="1" applyFont="1" applyFill="1" applyBorder="1" applyAlignment="1" applyProtection="1">
      <alignment horizontal="center" vertical="center"/>
    </xf>
    <xf numFmtId="0" fontId="12" fillId="6" borderId="4" xfId="0" applyFont="1" applyFill="1" applyBorder="1" applyAlignment="1">
      <alignment horizontal="right"/>
    </xf>
    <xf numFmtId="165" fontId="89" fillId="10" borderId="4" xfId="0" applyNumberFormat="1" applyFont="1" applyFill="1" applyBorder="1" applyAlignment="1">
      <alignment vertical="center"/>
    </xf>
    <xf numFmtId="165" fontId="151" fillId="6" borderId="14" xfId="1" applyNumberFormat="1" applyFont="1" applyFill="1" applyBorder="1" applyAlignment="1" applyProtection="1">
      <alignment horizontal="center" vertical="center"/>
    </xf>
    <xf numFmtId="165" fontId="155" fillId="5" borderId="9" xfId="1" applyNumberFormat="1" applyFont="1" applyFill="1" applyBorder="1" applyAlignment="1" applyProtection="1">
      <alignment horizontal="center" vertical="center"/>
    </xf>
    <xf numFmtId="165" fontId="11" fillId="27" borderId="14" xfId="1" applyNumberFormat="1" applyFont="1" applyFill="1" applyBorder="1" applyAlignment="1" applyProtection="1">
      <alignment horizontal="center" vertical="center"/>
    </xf>
    <xf numFmtId="165" fontId="84" fillId="2" borderId="4" xfId="1" applyNumberFormat="1" applyFont="1" applyFill="1" applyBorder="1" applyAlignment="1" applyProtection="1">
      <alignment horizontal="center" vertical="center"/>
    </xf>
    <xf numFmtId="165" fontId="11" fillId="27" borderId="4" xfId="1" applyNumberFormat="1" applyFont="1" applyFill="1" applyBorder="1" applyAlignment="1" applyProtection="1">
      <alignment horizontal="center" vertical="center"/>
    </xf>
    <xf numFmtId="165" fontId="30" fillId="10" borderId="4" xfId="1" applyNumberFormat="1" applyFont="1" applyFill="1" applyBorder="1" applyAlignment="1" applyProtection="1">
      <alignment horizontal="center" vertical="center"/>
    </xf>
    <xf numFmtId="165" fontId="151" fillId="6" borderId="29" xfId="1" applyNumberFormat="1" applyFont="1" applyFill="1" applyBorder="1" applyAlignment="1" applyProtection="1">
      <alignment horizontal="center" vertical="center"/>
    </xf>
    <xf numFmtId="165" fontId="155" fillId="5" borderId="15" xfId="1" applyNumberFormat="1" applyFont="1" applyFill="1" applyBorder="1" applyAlignment="1" applyProtection="1">
      <alignment horizontal="center" vertical="center"/>
    </xf>
    <xf numFmtId="165" fontId="11" fillId="27" borderId="29" xfId="1" applyNumberFormat="1" applyFont="1" applyFill="1" applyBorder="1" applyAlignment="1" applyProtection="1">
      <alignment horizontal="center" vertical="center"/>
    </xf>
    <xf numFmtId="0" fontId="1" fillId="0" borderId="0" xfId="0" quotePrefix="1" applyFont="1"/>
    <xf numFmtId="0" fontId="14" fillId="6" borderId="4" xfId="0" applyFont="1" applyFill="1" applyBorder="1" applyAlignment="1">
      <alignment horizontal="right"/>
    </xf>
    <xf numFmtId="0" fontId="14" fillId="2" borderId="9" xfId="0" applyFont="1" applyFill="1" applyBorder="1" applyAlignment="1">
      <alignment horizontal="center"/>
    </xf>
    <xf numFmtId="165" fontId="151" fillId="6" borderId="24" xfId="1" applyNumberFormat="1" applyFont="1" applyFill="1" applyBorder="1" applyAlignment="1" applyProtection="1">
      <alignment horizontal="center" vertical="center"/>
    </xf>
    <xf numFmtId="165" fontId="155" fillId="5" borderId="10" xfId="1" applyNumberFormat="1" applyFont="1" applyFill="1" applyBorder="1" applyAlignment="1" applyProtection="1">
      <alignment horizontal="center" vertical="center"/>
    </xf>
    <xf numFmtId="165" fontId="11" fillId="27" borderId="24" xfId="1" applyNumberFormat="1" applyFont="1" applyFill="1" applyBorder="1" applyAlignment="1" applyProtection="1">
      <alignment horizontal="center" vertical="center"/>
    </xf>
    <xf numFmtId="9" fontId="12" fillId="6" borderId="6" xfId="0" applyNumberFormat="1" applyFont="1" applyFill="1" applyBorder="1" applyAlignment="1">
      <alignment horizontal="center" vertical="center"/>
    </xf>
    <xf numFmtId="165" fontId="12" fillId="10" borderId="11" xfId="0" applyNumberFormat="1" applyFont="1" applyFill="1" applyBorder="1"/>
    <xf numFmtId="165" fontId="45" fillId="10" borderId="4" xfId="0" applyNumberFormat="1" applyFont="1" applyFill="1" applyBorder="1" applyAlignment="1">
      <alignment horizontal="center" vertical="center"/>
    </xf>
    <xf numFmtId="165" fontId="15" fillId="10" borderId="4" xfId="1" applyNumberFormat="1" applyFont="1" applyFill="1" applyBorder="1" applyAlignment="1" applyProtection="1">
      <alignment horizontal="center" vertical="center"/>
    </xf>
    <xf numFmtId="43" fontId="9" fillId="0" borderId="0" xfId="1" applyFont="1" applyFill="1" applyBorder="1" applyAlignment="1" applyProtection="1">
      <alignment vertical="center"/>
    </xf>
    <xf numFmtId="165" fontId="12" fillId="10" borderId="12" xfId="0" applyNumberFormat="1" applyFont="1" applyFill="1" applyBorder="1"/>
    <xf numFmtId="165" fontId="174" fillId="10" borderId="4" xfId="1" applyNumberFormat="1" applyFont="1" applyFill="1" applyBorder="1" applyAlignment="1" applyProtection="1">
      <alignment horizontal="center" vertical="center"/>
    </xf>
    <xf numFmtId="165" fontId="9" fillId="0" borderId="0" xfId="1" applyNumberFormat="1" applyFont="1" applyFill="1" applyBorder="1" applyAlignment="1" applyProtection="1">
      <alignment vertical="center"/>
    </xf>
    <xf numFmtId="165" fontId="25" fillId="10" borderId="4" xfId="1" applyNumberFormat="1" applyFont="1" applyFill="1" applyBorder="1" applyAlignment="1" applyProtection="1">
      <alignment horizontal="center" vertical="center"/>
    </xf>
    <xf numFmtId="0" fontId="12" fillId="11" borderId="4" xfId="0" applyFont="1" applyFill="1" applyBorder="1" applyAlignment="1">
      <alignment horizontal="center"/>
    </xf>
    <xf numFmtId="0" fontId="0" fillId="8" borderId="4" xfId="0" applyFill="1" applyBorder="1"/>
    <xf numFmtId="0" fontId="19" fillId="0" borderId="0" xfId="0" applyFont="1" applyAlignment="1">
      <alignment horizontal="center" vertical="center"/>
    </xf>
    <xf numFmtId="165" fontId="14" fillId="10" borderId="16" xfId="0" applyNumberFormat="1" applyFont="1" applyFill="1" applyBorder="1" applyAlignment="1">
      <alignment horizontal="center" vertical="center"/>
    </xf>
    <xf numFmtId="165" fontId="14" fillId="10" borderId="22" xfId="0" applyNumberFormat="1" applyFont="1" applyFill="1" applyBorder="1" applyAlignment="1">
      <alignment horizontal="center" vertical="center"/>
    </xf>
    <xf numFmtId="165" fontId="12" fillId="10" borderId="13" xfId="0" applyNumberFormat="1" applyFont="1" applyFill="1" applyBorder="1"/>
    <xf numFmtId="165" fontId="88" fillId="10" borderId="18" xfId="1" applyNumberFormat="1" applyFont="1" applyFill="1" applyBorder="1" applyAlignment="1" applyProtection="1">
      <alignment horizontal="center" vertical="center"/>
    </xf>
    <xf numFmtId="0" fontId="12" fillId="11" borderId="9" xfId="0" applyFont="1" applyFill="1" applyBorder="1" applyAlignment="1">
      <alignment horizontal="right"/>
    </xf>
    <xf numFmtId="165" fontId="14" fillId="10" borderId="4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left"/>
    </xf>
    <xf numFmtId="0" fontId="12" fillId="6" borderId="8" xfId="0" applyFont="1" applyFill="1" applyBorder="1" applyAlignment="1">
      <alignment horizontal="left"/>
    </xf>
    <xf numFmtId="165" fontId="89" fillId="15" borderId="10" xfId="0" applyNumberFormat="1" applyFont="1" applyFill="1" applyBorder="1" applyAlignment="1">
      <alignment vertical="center"/>
    </xf>
    <xf numFmtId="165" fontId="25" fillId="10" borderId="10" xfId="1" applyNumberFormat="1" applyFont="1" applyFill="1" applyBorder="1" applyProtection="1"/>
    <xf numFmtId="0" fontId="12" fillId="11" borderId="15" xfId="0" applyFont="1" applyFill="1" applyBorder="1" applyAlignment="1">
      <alignment horizontal="right" vertical="center"/>
    </xf>
    <xf numFmtId="165" fontId="15" fillId="9" borderId="4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165" fontId="45" fillId="10" borderId="4" xfId="1" applyNumberFormat="1" applyFont="1" applyFill="1" applyBorder="1" applyProtection="1"/>
    <xf numFmtId="0" fontId="12" fillId="16" borderId="4" xfId="0" applyFont="1" applyFill="1" applyBorder="1" applyAlignment="1">
      <alignment horizontal="right"/>
    </xf>
    <xf numFmtId="165" fontId="12" fillId="16" borderId="4" xfId="0" applyNumberFormat="1" applyFont="1" applyFill="1" applyBorder="1" applyAlignment="1">
      <alignment horizontal="center" vertical="center"/>
    </xf>
    <xf numFmtId="165" fontId="17" fillId="10" borderId="4" xfId="1" applyNumberFormat="1" applyFont="1" applyFill="1" applyBorder="1" applyProtection="1"/>
    <xf numFmtId="0" fontId="12" fillId="11" borderId="15" xfId="0" applyFont="1" applyFill="1" applyBorder="1" applyAlignment="1">
      <alignment horizontal="right"/>
    </xf>
    <xf numFmtId="165" fontId="12" fillId="10" borderId="4" xfId="0" applyNumberFormat="1" applyFont="1" applyFill="1" applyBorder="1" applyAlignment="1">
      <alignment horizontal="center" vertical="center"/>
    </xf>
    <xf numFmtId="165" fontId="12" fillId="8" borderId="4" xfId="1" applyNumberFormat="1" applyFont="1" applyFill="1" applyBorder="1" applyAlignment="1" applyProtection="1">
      <alignment horizontal="center" vertical="center"/>
    </xf>
    <xf numFmtId="0" fontId="12" fillId="10" borderId="4" xfId="0" applyFont="1" applyFill="1" applyBorder="1" applyAlignment="1">
      <alignment horizontal="right" vertical="center"/>
    </xf>
    <xf numFmtId="165" fontId="11" fillId="10" borderId="4" xfId="1" applyNumberFormat="1" applyFont="1" applyFill="1" applyBorder="1" applyAlignment="1" applyProtection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/>
    </xf>
    <xf numFmtId="165" fontId="12" fillId="10" borderId="4" xfId="1" applyNumberFormat="1" applyFont="1" applyFill="1" applyBorder="1" applyAlignment="1" applyProtection="1">
      <alignment horizontal="center"/>
    </xf>
    <xf numFmtId="0" fontId="14" fillId="11" borderId="4" xfId="0" applyFont="1" applyFill="1" applyBorder="1" applyAlignment="1">
      <alignment horizontal="right" vertical="center"/>
    </xf>
    <xf numFmtId="172" fontId="45" fillId="10" borderId="4" xfId="0" applyNumberFormat="1" applyFont="1" applyFill="1" applyBorder="1" applyAlignment="1">
      <alignment horizontal="right" vertical="center"/>
    </xf>
    <xf numFmtId="0" fontId="28" fillId="18" borderId="4" xfId="0" applyFont="1" applyFill="1" applyBorder="1" applyAlignment="1">
      <alignment horizontal="center" vertical="center"/>
    </xf>
    <xf numFmtId="165" fontId="28" fillId="18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165" fontId="11" fillId="0" borderId="0" xfId="0" applyNumberFormat="1" applyFont="1" applyAlignment="1">
      <alignment vertical="center"/>
    </xf>
    <xf numFmtId="165" fontId="116" fillId="6" borderId="5" xfId="1" applyNumberFormat="1" applyFont="1" applyFill="1" applyBorder="1" applyAlignment="1" applyProtection="1">
      <alignment horizontal="center" vertical="center"/>
    </xf>
    <xf numFmtId="166" fontId="5" fillId="0" borderId="0" xfId="0" applyNumberFormat="1" applyFont="1"/>
    <xf numFmtId="0" fontId="42" fillId="0" borderId="0" xfId="0" applyFont="1" applyAlignment="1">
      <alignment horizontal="center" vertical="center"/>
    </xf>
    <xf numFmtId="165" fontId="0" fillId="0" borderId="0" xfId="0" applyNumberFormat="1"/>
    <xf numFmtId="0" fontId="12" fillId="6" borderId="20" xfId="0" applyFont="1" applyFill="1" applyBorder="1"/>
    <xf numFmtId="0" fontId="0" fillId="6" borderId="28" xfId="0" applyFill="1" applyBorder="1"/>
    <xf numFmtId="0" fontId="0" fillId="6" borderId="14" xfId="0" applyFill="1" applyBorder="1"/>
    <xf numFmtId="0" fontId="12" fillId="10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vertical="center"/>
    </xf>
    <xf numFmtId="0" fontId="0" fillId="6" borderId="0" xfId="0" applyFill="1"/>
    <xf numFmtId="0" fontId="0" fillId="6" borderId="29" xfId="0" applyFill="1" applyBorder="1"/>
    <xf numFmtId="0" fontId="12" fillId="6" borderId="5" xfId="0" applyFont="1" applyFill="1" applyBorder="1"/>
    <xf numFmtId="0" fontId="12" fillId="6" borderId="0" xfId="0" applyFont="1" applyFill="1"/>
    <xf numFmtId="0" fontId="12" fillId="6" borderId="29" xfId="0" applyFont="1" applyFill="1" applyBorder="1"/>
    <xf numFmtId="0" fontId="12" fillId="6" borderId="5" xfId="0" applyFont="1" applyFill="1" applyBorder="1" applyAlignment="1">
      <alignment horizontal="left"/>
    </xf>
    <xf numFmtId="0" fontId="83" fillId="6" borderId="6" xfId="0" applyFont="1" applyFill="1" applyBorder="1"/>
    <xf numFmtId="0" fontId="12" fillId="6" borderId="7" xfId="0" applyFont="1" applyFill="1" applyBorder="1"/>
    <xf numFmtId="0" fontId="12" fillId="6" borderId="8" xfId="0" applyFont="1" applyFill="1" applyBorder="1"/>
    <xf numFmtId="165" fontId="83" fillId="10" borderId="4" xfId="1" applyNumberFormat="1" applyFont="1" applyFill="1" applyBorder="1" applyAlignment="1" applyProtection="1">
      <alignment horizontal="center" vertical="center"/>
    </xf>
    <xf numFmtId="0" fontId="87" fillId="6" borderId="4" xfId="0" applyFont="1" applyFill="1" applyBorder="1" applyAlignment="1">
      <alignment horizontal="center" vertical="center"/>
    </xf>
    <xf numFmtId="0" fontId="12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14" fillId="6" borderId="6" xfId="0" applyFont="1" applyFill="1" applyBorder="1"/>
    <xf numFmtId="172" fontId="44" fillId="10" borderId="4" xfId="0" applyNumberFormat="1" applyFont="1" applyFill="1" applyBorder="1" applyAlignment="1">
      <alignment horizontal="center" vertical="center"/>
    </xf>
    <xf numFmtId="0" fontId="14" fillId="14" borderId="6" xfId="0" applyFont="1" applyFill="1" applyBorder="1"/>
    <xf numFmtId="165" fontId="0" fillId="14" borderId="7" xfId="0" applyNumberFormat="1" applyFill="1" applyBorder="1"/>
    <xf numFmtId="0" fontId="0" fillId="14" borderId="8" xfId="0" applyFill="1" applyBorder="1"/>
    <xf numFmtId="172" fontId="11" fillId="14" borderId="4" xfId="0" applyNumberFormat="1" applyFont="1" applyFill="1" applyBorder="1" applyAlignment="1">
      <alignment horizontal="center" vertical="center"/>
    </xf>
    <xf numFmtId="0" fontId="83" fillId="2" borderId="6" xfId="0" applyFont="1" applyFill="1" applyBorder="1"/>
    <xf numFmtId="0" fontId="0" fillId="2" borderId="7" xfId="0" applyFill="1" applyBorder="1"/>
    <xf numFmtId="172" fontId="11" fillId="2" borderId="4" xfId="0" applyNumberFormat="1" applyFont="1" applyFill="1" applyBorder="1" applyAlignment="1">
      <alignment horizontal="center" vertical="center"/>
    </xf>
    <xf numFmtId="0" fontId="74" fillId="6" borderId="8" xfId="0" applyFont="1" applyFill="1" applyBorder="1" applyAlignment="1">
      <alignment horizontal="center" vertical="center"/>
    </xf>
    <xf numFmtId="0" fontId="81" fillId="6" borderId="4" xfId="0" applyFont="1" applyFill="1" applyBorder="1" applyAlignment="1">
      <alignment horizontal="center" vertical="center"/>
    </xf>
    <xf numFmtId="0" fontId="110" fillId="6" borderId="6" xfId="0" applyFont="1" applyFill="1" applyBorder="1" applyAlignment="1">
      <alignment horizontal="left" vertical="center"/>
    </xf>
    <xf numFmtId="0" fontId="111" fillId="6" borderId="7" xfId="0" applyFont="1" applyFill="1" applyBorder="1"/>
    <xf numFmtId="0" fontId="111" fillId="6" borderId="8" xfId="0" applyFont="1" applyFill="1" applyBorder="1"/>
    <xf numFmtId="165" fontId="51" fillId="15" borderId="9" xfId="0" applyNumberFormat="1" applyFont="1" applyFill="1" applyBorder="1" applyAlignment="1">
      <alignment vertical="center"/>
    </xf>
    <xf numFmtId="165" fontId="151" fillId="6" borderId="10" xfId="1" applyNumberFormat="1" applyFont="1" applyFill="1" applyBorder="1" applyAlignment="1" applyProtection="1">
      <alignment horizontal="center" vertical="center"/>
    </xf>
    <xf numFmtId="0" fontId="110" fillId="6" borderId="20" xfId="0" applyFont="1" applyFill="1" applyBorder="1" applyAlignment="1">
      <alignment horizontal="left" vertical="center"/>
    </xf>
    <xf numFmtId="0" fontId="111" fillId="6" borderId="28" xfId="0" applyFont="1" applyFill="1" applyBorder="1"/>
    <xf numFmtId="0" fontId="112" fillId="6" borderId="6" xfId="0" applyFont="1" applyFill="1" applyBorder="1" applyAlignment="1">
      <alignment horizontal="left"/>
    </xf>
    <xf numFmtId="0" fontId="112" fillId="6" borderId="8" xfId="0" applyFont="1" applyFill="1" applyBorder="1" applyAlignment="1">
      <alignment horizontal="center"/>
    </xf>
    <xf numFmtId="165" fontId="110" fillId="10" borderId="24" xfId="0" applyNumberFormat="1" applyFont="1" applyFill="1" applyBorder="1"/>
    <xf numFmtId="0" fontId="112" fillId="14" borderId="25" xfId="0" applyFont="1" applyFill="1" applyBorder="1" applyAlignment="1">
      <alignment horizontal="left"/>
    </xf>
    <xf numFmtId="0" fontId="111" fillId="14" borderId="1" xfId="0" applyFont="1" applyFill="1" applyBorder="1"/>
    <xf numFmtId="0" fontId="111" fillId="14" borderId="24" xfId="0" applyFont="1" applyFill="1" applyBorder="1"/>
    <xf numFmtId="165" fontId="110" fillId="10" borderId="4" xfId="0" applyNumberFormat="1" applyFont="1" applyFill="1" applyBorder="1"/>
    <xf numFmtId="0" fontId="104" fillId="0" borderId="0" xfId="0" applyFont="1" applyAlignment="1">
      <alignment horizontal="center"/>
    </xf>
    <xf numFmtId="0" fontId="11" fillId="9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0" xfId="0" applyFont="1" applyAlignment="1">
      <alignment horizontal="center"/>
    </xf>
    <xf numFmtId="0" fontId="105" fillId="3" borderId="4" xfId="0" applyFont="1" applyFill="1" applyBorder="1" applyAlignment="1">
      <alignment horizontal="center" vertical="center"/>
    </xf>
    <xf numFmtId="0" fontId="87" fillId="5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04" fillId="5" borderId="4" xfId="0" applyFont="1" applyFill="1" applyBorder="1" applyAlignment="1">
      <alignment horizontal="center"/>
    </xf>
    <xf numFmtId="0" fontId="106" fillId="5" borderId="4" xfId="0" applyFont="1" applyFill="1" applyBorder="1" applyAlignment="1">
      <alignment horizontal="center"/>
    </xf>
    <xf numFmtId="0" fontId="11" fillId="22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132" fillId="3" borderId="4" xfId="0" applyFont="1" applyFill="1" applyBorder="1" applyAlignment="1">
      <alignment horizontal="center" vertical="center"/>
    </xf>
    <xf numFmtId="0" fontId="127" fillId="3" borderId="4" xfId="0" applyFont="1" applyFill="1" applyBorder="1" applyAlignment="1">
      <alignment horizontal="center" vertical="center"/>
    </xf>
    <xf numFmtId="9" fontId="52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9" fontId="5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4" fillId="5" borderId="4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horizontal="center" vertical="center"/>
    </xf>
    <xf numFmtId="0" fontId="46" fillId="0" borderId="6" xfId="0" applyFont="1" applyBorder="1"/>
    <xf numFmtId="165" fontId="53" fillId="0" borderId="4" xfId="1" applyNumberFormat="1" applyFont="1" applyBorder="1" applyAlignment="1" applyProtection="1">
      <alignment horizontal="center" vertical="center"/>
    </xf>
    <xf numFmtId="165" fontId="217" fillId="5" borderId="4" xfId="1" applyNumberFormat="1" applyFont="1" applyFill="1" applyBorder="1" applyAlignment="1" applyProtection="1">
      <alignment horizontal="center" vertical="center"/>
    </xf>
    <xf numFmtId="0" fontId="13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36" fillId="26" borderId="4" xfId="0" applyFont="1" applyFill="1" applyBorder="1" applyAlignment="1">
      <alignment horizontal="center" vertical="center"/>
    </xf>
    <xf numFmtId="0" fontId="46" fillId="0" borderId="20" xfId="0" applyFont="1" applyBorder="1"/>
    <xf numFmtId="165" fontId="53" fillId="0" borderId="9" xfId="1" applyNumberFormat="1" applyFont="1" applyBorder="1" applyAlignment="1" applyProtection="1">
      <alignment horizontal="center" vertical="center"/>
    </xf>
    <xf numFmtId="1" fontId="24" fillId="3" borderId="4" xfId="0" applyNumberFormat="1" applyFont="1" applyFill="1" applyBorder="1" applyAlignment="1">
      <alignment horizontal="center" vertical="center"/>
    </xf>
    <xf numFmtId="0" fontId="29" fillId="21" borderId="4" xfId="0" applyFont="1" applyFill="1" applyBorder="1" applyAlignment="1">
      <alignment horizontal="center" vertical="center"/>
    </xf>
    <xf numFmtId="165" fontId="39" fillId="4" borderId="8" xfId="1" applyNumberFormat="1" applyFont="1" applyFill="1" applyBorder="1" applyAlignment="1" applyProtection="1">
      <alignment horizontal="center" vertical="center"/>
    </xf>
    <xf numFmtId="165" fontId="87" fillId="4" borderId="8" xfId="1" applyNumberFormat="1" applyFont="1" applyFill="1" applyBorder="1" applyAlignment="1" applyProtection="1">
      <alignment horizontal="center" vertical="center"/>
    </xf>
    <xf numFmtId="0" fontId="104" fillId="5" borderId="4" xfId="0" applyFont="1" applyFill="1" applyBorder="1" applyAlignment="1">
      <alignment horizontal="right" vertical="center"/>
    </xf>
    <xf numFmtId="0" fontId="0" fillId="0" borderId="4" xfId="0" applyBorder="1"/>
    <xf numFmtId="0" fontId="31" fillId="0" borderId="20" xfId="0" applyFont="1" applyBorder="1"/>
    <xf numFmtId="0" fontId="31" fillId="0" borderId="28" xfId="0" applyFont="1" applyBorder="1"/>
    <xf numFmtId="0" fontId="31" fillId="0" borderId="20" xfId="0" applyFont="1" applyBorder="1" applyAlignment="1">
      <alignment vertical="center"/>
    </xf>
    <xf numFmtId="165" fontId="11" fillId="0" borderId="28" xfId="1" applyNumberFormat="1" applyFont="1" applyFill="1" applyBorder="1" applyAlignment="1" applyProtection="1">
      <alignment horizontal="center" vertical="center"/>
    </xf>
    <xf numFmtId="0" fontId="31" fillId="0" borderId="14" xfId="0" applyFont="1" applyBorder="1" applyAlignment="1">
      <alignment vertical="center"/>
    </xf>
    <xf numFmtId="0" fontId="31" fillId="0" borderId="5" xfId="0" applyFont="1" applyBorder="1"/>
    <xf numFmtId="0" fontId="25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29" xfId="0" applyFont="1" applyBorder="1"/>
    <xf numFmtId="0" fontId="10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1" fillId="0" borderId="25" xfId="0" applyFont="1" applyBorder="1"/>
    <xf numFmtId="0" fontId="31" fillId="0" borderId="1" xfId="0" applyFont="1" applyBorder="1"/>
    <xf numFmtId="0" fontId="31" fillId="0" borderId="25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4" xfId="0" applyFont="1" applyBorder="1"/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3" fillId="2" borderId="4" xfId="0" applyFont="1" applyFill="1" applyBorder="1" applyAlignment="1">
      <alignment horizontal="center" vertical="center"/>
    </xf>
    <xf numFmtId="0" fontId="145" fillId="2" borderId="4" xfId="0" applyFont="1" applyFill="1" applyBorder="1" applyAlignment="1">
      <alignment horizontal="center" vertical="center"/>
    </xf>
    <xf numFmtId="1" fontId="23" fillId="2" borderId="9" xfId="0" applyNumberFormat="1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65" fontId="107" fillId="5" borderId="6" xfId="1" applyNumberFormat="1" applyFont="1" applyFill="1" applyBorder="1" applyAlignment="1" applyProtection="1">
      <alignment horizontal="center" vertical="center"/>
    </xf>
    <xf numFmtId="9" fontId="0" fillId="11" borderId="9" xfId="0" applyNumberFormat="1" applyFill="1" applyBorder="1" applyAlignment="1">
      <alignment horizontal="center" vertical="center"/>
    </xf>
    <xf numFmtId="172" fontId="12" fillId="23" borderId="9" xfId="0" applyNumberFormat="1" applyFont="1" applyFill="1" applyBorder="1" applyAlignment="1">
      <alignment horizontal="center" vertical="center"/>
    </xf>
    <xf numFmtId="165" fontId="46" fillId="11" borderId="9" xfId="0" applyNumberFormat="1" applyFont="1" applyFill="1" applyBorder="1" applyAlignment="1">
      <alignment horizontal="center" vertical="center"/>
    </xf>
    <xf numFmtId="165" fontId="46" fillId="11" borderId="4" xfId="0" applyNumberFormat="1" applyFont="1" applyFill="1" applyBorder="1" applyAlignment="1">
      <alignment horizontal="center" vertical="center"/>
    </xf>
    <xf numFmtId="165" fontId="105" fillId="11" borderId="4" xfId="0" applyNumberFormat="1" applyFont="1" applyFill="1" applyBorder="1" applyAlignment="1">
      <alignment horizontal="center" vertical="center"/>
    </xf>
    <xf numFmtId="165" fontId="134" fillId="11" borderId="4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right" vertical="center"/>
    </xf>
    <xf numFmtId="165" fontId="79" fillId="10" borderId="6" xfId="0" applyNumberFormat="1" applyFont="1" applyFill="1" applyBorder="1" applyAlignment="1">
      <alignment horizontal="center" vertical="center"/>
    </xf>
    <xf numFmtId="9" fontId="0" fillId="11" borderId="15" xfId="0" applyNumberFormat="1" applyFill="1" applyBorder="1" applyAlignment="1">
      <alignment horizontal="center" vertical="center"/>
    </xf>
    <xf numFmtId="165" fontId="46" fillId="11" borderId="15" xfId="0" applyNumberFormat="1" applyFont="1" applyFill="1" applyBorder="1" applyAlignment="1">
      <alignment horizontal="center" vertical="center"/>
    </xf>
    <xf numFmtId="165" fontId="43" fillId="11" borderId="4" xfId="0" applyNumberFormat="1" applyFont="1" applyFill="1" applyBorder="1" applyAlignment="1">
      <alignment horizontal="center" vertical="center"/>
    </xf>
    <xf numFmtId="165" fontId="132" fillId="11" borderId="4" xfId="0" applyNumberFormat="1" applyFont="1" applyFill="1" applyBorder="1" applyAlignment="1">
      <alignment horizontal="center" vertical="center"/>
    </xf>
    <xf numFmtId="165" fontId="135" fillId="11" borderId="4" xfId="0" applyNumberFormat="1" applyFont="1" applyFill="1" applyBorder="1" applyAlignment="1">
      <alignment horizontal="center" vertical="center"/>
    </xf>
    <xf numFmtId="9" fontId="0" fillId="0" borderId="0" xfId="0" applyNumberFormat="1"/>
    <xf numFmtId="165" fontId="12" fillId="0" borderId="0" xfId="0" applyNumberFormat="1" applyFont="1" applyAlignment="1">
      <alignment vertical="center"/>
    </xf>
    <xf numFmtId="165" fontId="12" fillId="10" borderId="6" xfId="0" applyNumberFormat="1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33" fillId="11" borderId="4" xfId="0" applyNumberFormat="1" applyFont="1" applyFill="1" applyBorder="1" applyAlignment="1">
      <alignment horizontal="center" vertical="center"/>
    </xf>
    <xf numFmtId="0" fontId="131" fillId="0" borderId="0" xfId="0" applyFont="1" applyAlignment="1">
      <alignment horizontal="right" vertical="center"/>
    </xf>
    <xf numFmtId="0" fontId="34" fillId="19" borderId="4" xfId="0" applyFont="1" applyFill="1" applyBorder="1" applyAlignment="1">
      <alignment horizontal="center" vertical="center"/>
    </xf>
    <xf numFmtId="165" fontId="11" fillId="19" borderId="4" xfId="0" applyNumberFormat="1" applyFont="1" applyFill="1" applyBorder="1" applyAlignment="1">
      <alignment horizontal="center" vertical="center"/>
    </xf>
    <xf numFmtId="9" fontId="0" fillId="11" borderId="10" xfId="0" applyNumberFormat="1" applyFill="1" applyBorder="1" applyAlignment="1">
      <alignment horizontal="center" vertical="center"/>
    </xf>
    <xf numFmtId="172" fontId="12" fillId="23" borderId="4" xfId="0" applyNumberFormat="1" applyFont="1" applyFill="1" applyBorder="1" applyAlignment="1">
      <alignment horizontal="center" vertical="center"/>
    </xf>
    <xf numFmtId="165" fontId="46" fillId="11" borderId="10" xfId="0" applyNumberFormat="1" applyFont="1" applyFill="1" applyBorder="1" applyAlignment="1">
      <alignment horizontal="center" vertical="center"/>
    </xf>
    <xf numFmtId="0" fontId="34" fillId="22" borderId="4" xfId="0" applyFont="1" applyFill="1" applyBorder="1" applyAlignment="1">
      <alignment horizontal="center" vertical="center"/>
    </xf>
    <xf numFmtId="165" fontId="11" fillId="22" borderId="4" xfId="1" applyNumberFormat="1" applyFont="1" applyFill="1" applyBorder="1" applyAlignment="1" applyProtection="1">
      <alignment horizontal="center" vertical="center"/>
    </xf>
    <xf numFmtId="0" fontId="142" fillId="7" borderId="6" xfId="0" applyFont="1" applyFill="1" applyBorder="1"/>
    <xf numFmtId="0" fontId="143" fillId="7" borderId="7" xfId="0" applyFont="1" applyFill="1" applyBorder="1" applyAlignment="1">
      <alignment horizontal="right" vertical="center"/>
    </xf>
    <xf numFmtId="0" fontId="142" fillId="7" borderId="8" xfId="0" applyFont="1" applyFill="1" applyBorder="1" applyAlignment="1">
      <alignment horizontal="center" vertical="center"/>
    </xf>
    <xf numFmtId="9" fontId="0" fillId="11" borderId="20" xfId="0" applyNumberFormat="1" applyFill="1" applyBorder="1" applyAlignment="1">
      <alignment horizontal="center" vertical="center"/>
    </xf>
    <xf numFmtId="9" fontId="0" fillId="11" borderId="14" xfId="0" applyNumberFormat="1" applyFill="1" applyBorder="1" applyAlignment="1">
      <alignment horizontal="center" vertical="center"/>
    </xf>
    <xf numFmtId="9" fontId="136" fillId="11" borderId="9" xfId="0" applyNumberFormat="1" applyFont="1" applyFill="1" applyBorder="1" applyAlignment="1">
      <alignment horizontal="center" vertical="center"/>
    </xf>
    <xf numFmtId="0" fontId="141" fillId="0" borderId="4" xfId="0" applyFont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0" fillId="3" borderId="14" xfId="0" applyFill="1" applyBorder="1"/>
    <xf numFmtId="9" fontId="3" fillId="11" borderId="15" xfId="0" applyNumberFormat="1" applyFont="1" applyFill="1" applyBorder="1" applyAlignment="1">
      <alignment horizontal="center" vertical="center"/>
    </xf>
    <xf numFmtId="9" fontId="3" fillId="11" borderId="5" xfId="0" applyNumberFormat="1" applyFont="1" applyFill="1" applyBorder="1" applyAlignment="1">
      <alignment horizontal="center" vertical="center"/>
    </xf>
    <xf numFmtId="9" fontId="3" fillId="11" borderId="29" xfId="0" applyNumberFormat="1" applyFont="1" applyFill="1" applyBorder="1" applyAlignment="1">
      <alignment horizontal="center" vertical="center"/>
    </xf>
    <xf numFmtId="9" fontId="137" fillId="11" borderId="15" xfId="0" applyNumberFormat="1" applyFont="1" applyFill="1" applyBorder="1" applyAlignment="1">
      <alignment horizontal="center" vertical="center"/>
    </xf>
    <xf numFmtId="2" fontId="87" fillId="0" borderId="4" xfId="0" applyNumberFormat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0" fillId="3" borderId="8" xfId="0" applyFill="1" applyBorder="1"/>
    <xf numFmtId="9" fontId="0" fillId="11" borderId="5" xfId="0" applyNumberFormat="1" applyFill="1" applyBorder="1" applyAlignment="1">
      <alignment horizontal="center" vertical="center"/>
    </xf>
    <xf numFmtId="9" fontId="0" fillId="11" borderId="29" xfId="0" applyNumberFormat="1" applyFill="1" applyBorder="1" applyAlignment="1">
      <alignment horizontal="center" vertical="center"/>
    </xf>
    <xf numFmtId="9" fontId="136" fillId="11" borderId="15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11" borderId="25" xfId="0" applyNumberFormat="1" applyFill="1" applyBorder="1" applyAlignment="1">
      <alignment horizontal="center" vertical="center"/>
    </xf>
    <xf numFmtId="165" fontId="134" fillId="11" borderId="10" xfId="0" applyNumberFormat="1" applyFont="1" applyFill="1" applyBorder="1" applyAlignment="1">
      <alignment horizontal="center" vertical="center"/>
    </xf>
    <xf numFmtId="1" fontId="128" fillId="2" borderId="0" xfId="0" applyNumberFormat="1" applyFont="1" applyFill="1" applyAlignment="1">
      <alignment horizontal="center" vertical="center"/>
    </xf>
    <xf numFmtId="172" fontId="12" fillId="11" borderId="4" xfId="0" applyNumberFormat="1" applyFont="1" applyFill="1" applyBorder="1" applyAlignment="1">
      <alignment horizontal="center" vertical="center"/>
    </xf>
    <xf numFmtId="172" fontId="12" fillId="11" borderId="9" xfId="0" applyNumberFormat="1" applyFont="1" applyFill="1" applyBorder="1" applyAlignment="1">
      <alignment horizontal="center" vertical="center"/>
    </xf>
    <xf numFmtId="172" fontId="90" fillId="11" borderId="9" xfId="0" applyNumberFormat="1" applyFont="1" applyFill="1" applyBorder="1" applyAlignment="1">
      <alignment horizontal="center" vertical="center"/>
    </xf>
    <xf numFmtId="172" fontId="90" fillId="11" borderId="4" xfId="0" applyNumberFormat="1" applyFont="1" applyFill="1" applyBorder="1" applyAlignment="1">
      <alignment horizontal="center" vertical="center"/>
    </xf>
    <xf numFmtId="0" fontId="21" fillId="3" borderId="4" xfId="0" quotePrefix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12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36" fillId="3" borderId="4" xfId="0" applyFont="1" applyFill="1" applyBorder="1" applyAlignment="1">
      <alignment horizontal="center" vertical="center"/>
    </xf>
    <xf numFmtId="0" fontId="140" fillId="23" borderId="4" xfId="0" applyFont="1" applyFill="1" applyBorder="1" applyAlignment="1">
      <alignment horizontal="center" vertical="center"/>
    </xf>
    <xf numFmtId="0" fontId="141" fillId="23" borderId="4" xfId="0" applyFont="1" applyFill="1" applyBorder="1" applyAlignment="1">
      <alignment horizontal="center" vertical="center"/>
    </xf>
    <xf numFmtId="2" fontId="12" fillId="23" borderId="4" xfId="0" applyNumberFormat="1" applyFont="1" applyFill="1" applyBorder="1" applyAlignment="1">
      <alignment horizontal="center" vertical="center"/>
    </xf>
    <xf numFmtId="2" fontId="90" fillId="23" borderId="4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vertical="center"/>
    </xf>
    <xf numFmtId="0" fontId="9" fillId="6" borderId="4" xfId="0" applyFont="1" applyFill="1" applyBorder="1" applyAlignment="1">
      <alignment vertical="center"/>
    </xf>
    <xf numFmtId="165" fontId="12" fillId="10" borderId="4" xfId="1" applyNumberFormat="1" applyFont="1" applyFill="1" applyBorder="1" applyAlignment="1" applyProtection="1">
      <alignment horizontal="center" vertical="center"/>
    </xf>
    <xf numFmtId="9" fontId="11" fillId="24" borderId="4" xfId="0" applyNumberFormat="1" applyFont="1" applyFill="1" applyBorder="1" applyAlignment="1">
      <alignment horizontal="center" vertical="center"/>
    </xf>
    <xf numFmtId="9" fontId="12" fillId="25" borderId="4" xfId="0" applyNumberFormat="1" applyFont="1" applyFill="1" applyBorder="1" applyAlignment="1">
      <alignment horizontal="center" vertical="center"/>
    </xf>
    <xf numFmtId="9" fontId="90" fillId="25" borderId="4" xfId="0" applyNumberFormat="1" applyFont="1" applyFill="1" applyBorder="1" applyAlignment="1">
      <alignment horizontal="center" vertical="center"/>
    </xf>
    <xf numFmtId="165" fontId="9" fillId="10" borderId="4" xfId="1" applyNumberFormat="1" applyFont="1" applyFill="1" applyBorder="1" applyAlignment="1" applyProtection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0" fillId="0" borderId="4" xfId="0" applyFont="1" applyBorder="1" applyAlignment="1">
      <alignment horizontal="center" vertical="center"/>
    </xf>
    <xf numFmtId="0" fontId="9" fillId="28" borderId="29" xfId="0" applyFont="1" applyFill="1" applyBorder="1" applyAlignment="1">
      <alignment horizontal="right" vertical="center"/>
    </xf>
    <xf numFmtId="165" fontId="16" fillId="10" borderId="9" xfId="1" applyNumberFormat="1" applyFont="1" applyFill="1" applyBorder="1" applyAlignment="1" applyProtection="1">
      <alignment vertical="center"/>
    </xf>
    <xf numFmtId="165" fontId="9" fillId="25" borderId="4" xfId="1" applyNumberFormat="1" applyFont="1" applyFill="1" applyBorder="1" applyAlignment="1" applyProtection="1">
      <alignment horizontal="center" vertical="center"/>
    </xf>
    <xf numFmtId="165" fontId="144" fillId="25" borderId="4" xfId="1" applyNumberFormat="1" applyFont="1" applyFill="1" applyBorder="1" applyAlignment="1" applyProtection="1">
      <alignment horizontal="center" vertical="center"/>
    </xf>
    <xf numFmtId="0" fontId="86" fillId="6" borderId="4" xfId="0" applyFont="1" applyFill="1" applyBorder="1" applyAlignment="1">
      <alignment vertical="center"/>
    </xf>
    <xf numFmtId="165" fontId="16" fillId="25" borderId="4" xfId="1" applyNumberFormat="1" applyFont="1" applyFill="1" applyBorder="1" applyAlignment="1" applyProtection="1">
      <alignment vertical="center"/>
    </xf>
    <xf numFmtId="165" fontId="144" fillId="25" borderId="4" xfId="1" applyNumberFormat="1" applyFont="1" applyFill="1" applyBorder="1" applyAlignment="1" applyProtection="1">
      <alignment vertical="center"/>
    </xf>
    <xf numFmtId="43" fontId="11" fillId="2" borderId="4" xfId="1" applyFont="1" applyFill="1" applyBorder="1" applyAlignment="1" applyProtection="1">
      <alignment horizontal="center" vertical="center"/>
    </xf>
    <xf numFmtId="165" fontId="14" fillId="2" borderId="4" xfId="1" applyNumberFormat="1" applyFont="1" applyFill="1" applyBorder="1" applyAlignment="1" applyProtection="1">
      <alignment horizontal="center" vertical="center"/>
    </xf>
    <xf numFmtId="0" fontId="8" fillId="28" borderId="0" xfId="0" applyFont="1" applyFill="1"/>
    <xf numFmtId="165" fontId="21" fillId="28" borderId="29" xfId="1" applyNumberFormat="1" applyFont="1" applyFill="1" applyBorder="1" applyAlignment="1" applyProtection="1">
      <alignment horizontal="right" vertical="center"/>
    </xf>
    <xf numFmtId="165" fontId="9" fillId="6" borderId="10" xfId="1" applyNumberFormat="1" applyFont="1" applyFill="1" applyBorder="1" applyAlignment="1" applyProtection="1">
      <alignment horizontal="center" vertical="center"/>
    </xf>
    <xf numFmtId="165" fontId="131" fillId="25" borderId="4" xfId="1" applyNumberFormat="1" applyFont="1" applyFill="1" applyBorder="1" applyAlignment="1" applyProtection="1">
      <alignment horizontal="center" vertical="center"/>
    </xf>
    <xf numFmtId="165" fontId="91" fillId="25" borderId="4" xfId="1" applyNumberFormat="1" applyFont="1" applyFill="1" applyBorder="1" applyAlignment="1" applyProtection="1">
      <alignment horizontal="right" vertical="center"/>
    </xf>
    <xf numFmtId="43" fontId="9" fillId="6" borderId="4" xfId="1" applyFont="1" applyFill="1" applyBorder="1" applyAlignment="1" applyProtection="1">
      <alignment horizontal="left" vertical="center"/>
    </xf>
    <xf numFmtId="165" fontId="9" fillId="28" borderId="0" xfId="1" applyNumberFormat="1" applyFont="1" applyFill="1" applyBorder="1" applyAlignment="1" applyProtection="1">
      <alignment vertical="center"/>
    </xf>
    <xf numFmtId="0" fontId="12" fillId="28" borderId="29" xfId="0" applyFont="1" applyFill="1" applyBorder="1" applyAlignment="1">
      <alignment horizontal="right" vertical="center"/>
    </xf>
    <xf numFmtId="165" fontId="9" fillId="6" borderId="4" xfId="1" applyNumberFormat="1" applyFont="1" applyFill="1" applyBorder="1" applyAlignment="1" applyProtection="1">
      <alignment horizontal="center" vertical="center"/>
    </xf>
    <xf numFmtId="165" fontId="15" fillId="25" borderId="4" xfId="1" applyNumberFormat="1" applyFont="1" applyFill="1" applyBorder="1" applyAlignment="1" applyProtection="1">
      <alignment horizontal="center" vertical="center"/>
    </xf>
    <xf numFmtId="165" fontId="90" fillId="25" borderId="4" xfId="1" applyNumberFormat="1" applyFont="1" applyFill="1" applyBorder="1" applyAlignment="1" applyProtection="1">
      <alignment horizontal="center" vertical="center"/>
    </xf>
    <xf numFmtId="165" fontId="9" fillId="6" borderId="4" xfId="1" applyNumberFormat="1" applyFont="1" applyFill="1" applyBorder="1" applyAlignment="1" applyProtection="1">
      <alignment vertical="center"/>
    </xf>
    <xf numFmtId="165" fontId="9" fillId="10" borderId="4" xfId="1" applyNumberFormat="1" applyFont="1" applyFill="1" applyBorder="1" applyAlignment="1" applyProtection="1">
      <alignment vertical="center"/>
    </xf>
    <xf numFmtId="165" fontId="144" fillId="10" borderId="4" xfId="1" applyNumberFormat="1" applyFont="1" applyFill="1" applyBorder="1" applyAlignment="1" applyProtection="1">
      <alignment vertical="center"/>
    </xf>
    <xf numFmtId="165" fontId="163" fillId="10" borderId="4" xfId="1" applyNumberFormat="1" applyFont="1" applyFill="1" applyBorder="1" applyAlignment="1" applyProtection="1">
      <alignment horizontal="center" vertical="center"/>
    </xf>
    <xf numFmtId="0" fontId="0" fillId="28" borderId="1" xfId="0" applyFill="1" applyBorder="1"/>
    <xf numFmtId="0" fontId="14" fillId="28" borderId="24" xfId="0" applyFont="1" applyFill="1" applyBorder="1" applyAlignment="1">
      <alignment horizontal="right" vertical="center"/>
    </xf>
    <xf numFmtId="165" fontId="11" fillId="24" borderId="4" xfId="1" applyNumberFormat="1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65" fontId="12" fillId="10" borderId="4" xfId="1" applyNumberFormat="1" applyFont="1" applyFill="1" applyBorder="1" applyAlignment="1" applyProtection="1">
      <alignment vertical="center"/>
    </xf>
    <xf numFmtId="165" fontId="90" fillId="10" borderId="4" xfId="1" applyNumberFormat="1" applyFont="1" applyFill="1" applyBorder="1" applyAlignment="1" applyProtection="1">
      <alignment vertical="center"/>
    </xf>
    <xf numFmtId="0" fontId="29" fillId="0" borderId="4" xfId="0" applyFont="1" applyBorder="1" applyAlignment="1">
      <alignment horizontal="center" vertical="center"/>
    </xf>
    <xf numFmtId="166" fontId="3" fillId="2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16" fillId="0" borderId="0" xfId="1" applyNumberFormat="1" applyFont="1" applyFill="1" applyBorder="1" applyAlignment="1" applyProtection="1">
      <alignment vertical="center"/>
    </xf>
    <xf numFmtId="166" fontId="215" fillId="0" borderId="4" xfId="0" applyNumberFormat="1" applyFont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16" fillId="0" borderId="0" xfId="1" applyFont="1" applyFill="1" applyBorder="1" applyAlignment="1" applyProtection="1">
      <alignment vertical="center"/>
    </xf>
    <xf numFmtId="165" fontId="11" fillId="2" borderId="4" xfId="1" applyNumberFormat="1" applyFont="1" applyFill="1" applyBorder="1" applyAlignment="1" applyProtection="1">
      <alignment vertical="center"/>
    </xf>
    <xf numFmtId="0" fontId="157" fillId="0" borderId="4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65" fontId="12" fillId="2" borderId="9" xfId="1" applyNumberFormat="1" applyFont="1" applyFill="1" applyBorder="1" applyAlignment="1" applyProtection="1">
      <alignment horizontal="center" vertical="center"/>
    </xf>
    <xf numFmtId="9" fontId="12" fillId="2" borderId="4" xfId="0" applyNumberFormat="1" applyFont="1" applyFill="1" applyBorder="1" applyAlignment="1">
      <alignment horizontal="center" vertical="center"/>
    </xf>
    <xf numFmtId="165" fontId="12" fillId="2" borderId="4" xfId="1" applyNumberFormat="1" applyFont="1" applyFill="1" applyBorder="1" applyProtection="1"/>
    <xf numFmtId="0" fontId="15" fillId="0" borderId="9" xfId="0" applyFont="1" applyBorder="1" applyAlignment="1">
      <alignment horizontal="center" vertical="center"/>
    </xf>
    <xf numFmtId="165" fontId="12" fillId="22" borderId="14" xfId="1" applyNumberFormat="1" applyFont="1" applyFill="1" applyBorder="1" applyAlignment="1" applyProtection="1">
      <alignment horizontal="center" vertical="center"/>
    </xf>
    <xf numFmtId="9" fontId="12" fillId="22" borderId="28" xfId="0" applyNumberFormat="1" applyFont="1" applyFill="1" applyBorder="1" applyAlignment="1">
      <alignment horizontal="center" vertical="center"/>
    </xf>
    <xf numFmtId="165" fontId="12" fillId="22" borderId="9" xfId="1" applyNumberFormat="1" applyFont="1" applyFill="1" applyBorder="1" applyAlignment="1" applyProtection="1">
      <alignment horizontal="center" vertical="center"/>
    </xf>
    <xf numFmtId="165" fontId="12" fillId="22" borderId="8" xfId="1" applyNumberFormat="1" applyFont="1" applyFill="1" applyBorder="1" applyProtection="1"/>
    <xf numFmtId="0" fontId="29" fillId="0" borderId="15" xfId="0" applyFont="1" applyBorder="1" applyAlignment="1">
      <alignment horizontal="center" vertical="center"/>
    </xf>
    <xf numFmtId="165" fontId="12" fillId="22" borderId="24" xfId="1" applyNumberFormat="1" applyFont="1" applyFill="1" applyBorder="1" applyAlignment="1" applyProtection="1">
      <alignment horizontal="center" vertical="center"/>
    </xf>
    <xf numFmtId="165" fontId="17" fillId="22" borderId="29" xfId="1" applyNumberFormat="1" applyFont="1" applyFill="1" applyBorder="1" applyAlignment="1" applyProtection="1">
      <alignment horizontal="center" vertical="center"/>
    </xf>
    <xf numFmtId="9" fontId="12" fillId="22" borderId="1" xfId="0" applyNumberFormat="1" applyFont="1" applyFill="1" applyBorder="1" applyAlignment="1">
      <alignment horizontal="center" vertical="center"/>
    </xf>
    <xf numFmtId="165" fontId="12" fillId="22" borderId="10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0" fontId="146" fillId="0" borderId="9" xfId="0" applyFont="1" applyBorder="1" applyAlignment="1">
      <alignment horizontal="center" vertical="center"/>
    </xf>
    <xf numFmtId="165" fontId="12" fillId="24" borderId="14" xfId="1" applyNumberFormat="1" applyFont="1" applyFill="1" applyBorder="1" applyAlignment="1" applyProtection="1">
      <alignment horizontal="center" vertical="center"/>
    </xf>
    <xf numFmtId="9" fontId="12" fillId="24" borderId="28" xfId="0" applyNumberFormat="1" applyFont="1" applyFill="1" applyBorder="1" applyAlignment="1">
      <alignment horizontal="center" vertical="center"/>
    </xf>
    <xf numFmtId="165" fontId="12" fillId="24" borderId="15" xfId="1" applyNumberFormat="1" applyFont="1" applyFill="1" applyBorder="1" applyAlignment="1" applyProtection="1">
      <alignment horizontal="center" vertical="center"/>
    </xf>
    <xf numFmtId="165" fontId="12" fillId="24" borderId="8" xfId="1" applyNumberFormat="1" applyFont="1" applyFill="1" applyBorder="1" applyProtection="1"/>
    <xf numFmtId="0" fontId="147" fillId="0" borderId="15" xfId="0" applyFont="1" applyBorder="1"/>
    <xf numFmtId="165" fontId="12" fillId="24" borderId="29" xfId="1" applyNumberFormat="1" applyFont="1" applyFill="1" applyBorder="1" applyAlignment="1" applyProtection="1">
      <alignment horizontal="center" vertical="center"/>
    </xf>
    <xf numFmtId="9" fontId="12" fillId="24" borderId="0" xfId="0" applyNumberFormat="1" applyFont="1" applyFill="1" applyAlignment="1">
      <alignment horizontal="center" vertical="center"/>
    </xf>
    <xf numFmtId="0" fontId="148" fillId="0" borderId="10" xfId="0" applyFont="1" applyBorder="1" applyAlignment="1">
      <alignment horizontal="center" vertical="center"/>
    </xf>
    <xf numFmtId="165" fontId="12" fillId="24" borderId="24" xfId="1" applyNumberFormat="1" applyFont="1" applyFill="1" applyBorder="1" applyAlignment="1" applyProtection="1">
      <alignment horizontal="center" vertical="center"/>
    </xf>
    <xf numFmtId="9" fontId="12" fillId="24" borderId="1" xfId="0" applyNumberFormat="1" applyFont="1" applyFill="1" applyBorder="1" applyAlignment="1">
      <alignment horizontal="center" vertical="center"/>
    </xf>
    <xf numFmtId="165" fontId="12" fillId="24" borderId="10" xfId="1" applyNumberFormat="1" applyFont="1" applyFill="1" applyBorder="1" applyAlignment="1" applyProtection="1">
      <alignment horizontal="center" vertical="center"/>
    </xf>
    <xf numFmtId="0" fontId="147" fillId="0" borderId="4" xfId="0" applyFont="1" applyBorder="1"/>
    <xf numFmtId="165" fontId="12" fillId="22" borderId="4" xfId="1" applyNumberFormat="1" applyFont="1" applyFill="1" applyBorder="1" applyAlignment="1" applyProtection="1">
      <alignment horizontal="center" vertical="center"/>
    </xf>
    <xf numFmtId="9" fontId="12" fillId="22" borderId="4" xfId="0" applyNumberFormat="1" applyFont="1" applyFill="1" applyBorder="1" applyAlignment="1">
      <alignment horizontal="center" vertical="center"/>
    </xf>
    <xf numFmtId="165" fontId="12" fillId="22" borderId="4" xfId="1" applyNumberFormat="1" applyFont="1" applyFill="1" applyBorder="1" applyProtection="1"/>
    <xf numFmtId="0" fontId="157" fillId="0" borderId="6" xfId="0" applyFont="1" applyBorder="1" applyAlignment="1">
      <alignment vertical="center"/>
    </xf>
    <xf numFmtId="0" fontId="157" fillId="0" borderId="7" xfId="0" applyFont="1" applyBorder="1" applyAlignment="1">
      <alignment horizontal="center" vertical="center"/>
    </xf>
    <xf numFmtId="0" fontId="157" fillId="0" borderId="8" xfId="0" applyFont="1" applyBorder="1" applyAlignment="1">
      <alignment vertical="center"/>
    </xf>
    <xf numFmtId="0" fontId="26" fillId="0" borderId="0" xfId="0" applyFont="1"/>
    <xf numFmtId="0" fontId="148" fillId="0" borderId="4" xfId="0" applyFont="1" applyBorder="1" applyAlignment="1">
      <alignment horizontal="center" vertical="center"/>
    </xf>
    <xf numFmtId="173" fontId="12" fillId="22" borderId="4" xfId="0" applyNumberFormat="1" applyFont="1" applyFill="1" applyBorder="1" applyAlignment="1">
      <alignment horizontal="center" vertical="center"/>
    </xf>
    <xf numFmtId="0" fontId="107" fillId="6" borderId="4" xfId="0" applyFont="1" applyFill="1" applyBorder="1" applyAlignment="1">
      <alignment horizontal="center" vertical="center"/>
    </xf>
    <xf numFmtId="0" fontId="168" fillId="0" borderId="4" xfId="0" applyFont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165" fontId="12" fillId="0" borderId="0" xfId="1" applyNumberFormat="1" applyFont="1" applyFill="1" applyBorder="1" applyProtection="1"/>
    <xf numFmtId="0" fontId="123" fillId="24" borderId="26" xfId="0" applyFont="1" applyFill="1" applyBorder="1" applyAlignment="1">
      <alignment vertical="center"/>
    </xf>
    <xf numFmtId="166" fontId="166" fillId="24" borderId="19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29" fillId="10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right" vertical="center"/>
    </xf>
    <xf numFmtId="166" fontId="26" fillId="10" borderId="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66" fontId="0" fillId="10" borderId="4" xfId="0" applyNumberForma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45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26" fillId="7" borderId="4" xfId="0" applyNumberFormat="1" applyFont="1" applyFill="1" applyBorder="1" applyAlignment="1">
      <alignment horizontal="center" vertical="center"/>
    </xf>
    <xf numFmtId="166" fontId="5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2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9" fillId="11" borderId="4" xfId="0" applyNumberFormat="1" applyFont="1" applyFill="1" applyBorder="1" applyAlignment="1">
      <alignment horizontal="center" vertical="center"/>
    </xf>
    <xf numFmtId="2" fontId="12" fillId="21" borderId="4" xfId="0" applyNumberFormat="1" applyFont="1" applyFill="1" applyBorder="1" applyAlignment="1">
      <alignment horizontal="center" vertical="center"/>
    </xf>
    <xf numFmtId="0" fontId="149" fillId="10" borderId="4" xfId="0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 wrapText="1"/>
    </xf>
    <xf numFmtId="0" fontId="37" fillId="26" borderId="4" xfId="0" applyFont="1" applyFill="1" applyBorder="1" applyAlignment="1">
      <alignment horizontal="center" vertical="center"/>
    </xf>
    <xf numFmtId="0" fontId="171" fillId="26" borderId="4" xfId="0" applyFont="1" applyFill="1" applyBorder="1" applyAlignment="1">
      <alignment horizontal="center" vertical="center" wrapText="1"/>
    </xf>
    <xf numFmtId="0" fontId="125" fillId="26" borderId="4" xfId="0" applyFont="1" applyFill="1" applyBorder="1" applyAlignment="1">
      <alignment horizontal="center" vertical="center"/>
    </xf>
    <xf numFmtId="0" fontId="105" fillId="26" borderId="4" xfId="0" applyFont="1" applyFill="1" applyBorder="1" applyAlignment="1">
      <alignment horizontal="center" vertical="center"/>
    </xf>
    <xf numFmtId="0" fontId="126" fillId="26" borderId="4" xfId="0" applyFont="1" applyFill="1" applyBorder="1" applyAlignment="1">
      <alignment horizontal="center" vertical="center"/>
    </xf>
    <xf numFmtId="0" fontId="170" fillId="26" borderId="4" xfId="0" applyFont="1" applyFill="1" applyBorder="1" applyAlignment="1">
      <alignment horizontal="center" vertical="center" wrapText="1"/>
    </xf>
    <xf numFmtId="0" fontId="19" fillId="11" borderId="9" xfId="0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9" fontId="12" fillId="3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9" fontId="12" fillId="0" borderId="4" xfId="0" applyNumberFormat="1" applyFont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9" fillId="11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1" fillId="11" borderId="20" xfId="0" applyFont="1" applyFill="1" applyBorder="1"/>
    <xf numFmtId="0" fontId="1" fillId="11" borderId="14" xfId="0" applyFont="1" applyFill="1" applyBorder="1" applyAlignment="1">
      <alignment horizontal="center" vertical="center"/>
    </xf>
    <xf numFmtId="2" fontId="12" fillId="10" borderId="9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" fillId="11" borderId="25" xfId="0" applyFont="1" applyFill="1" applyBorder="1"/>
    <xf numFmtId="0" fontId="1" fillId="11" borderId="24" xfId="0" applyFont="1" applyFill="1" applyBorder="1" applyAlignment="1">
      <alignment horizontal="center" vertical="center"/>
    </xf>
    <xf numFmtId="2" fontId="12" fillId="10" borderId="10" xfId="0" applyNumberFormat="1" applyFont="1" applyFill="1" applyBorder="1" applyAlignment="1">
      <alignment horizontal="center" vertical="center"/>
    </xf>
    <xf numFmtId="0" fontId="1" fillId="11" borderId="6" xfId="0" applyFont="1" applyFill="1" applyBorder="1"/>
    <xf numFmtId="0" fontId="1" fillId="11" borderId="8" xfId="0" applyFont="1" applyFill="1" applyBorder="1" applyAlignment="1">
      <alignment horizontal="right"/>
    </xf>
    <xf numFmtId="2" fontId="102" fillId="10" borderId="8" xfId="0" applyNumberFormat="1" applyFont="1" applyFill="1" applyBorder="1" applyAlignment="1">
      <alignment horizontal="center" vertical="center"/>
    </xf>
    <xf numFmtId="0" fontId="138" fillId="2" borderId="4" xfId="0" applyFont="1" applyFill="1" applyBorder="1"/>
    <xf numFmtId="2" fontId="17" fillId="2" borderId="4" xfId="0" applyNumberFormat="1" applyFont="1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0" fontId="76" fillId="11" borderId="8" xfId="0" applyFont="1" applyFill="1" applyBorder="1" applyAlignment="1">
      <alignment horizontal="right"/>
    </xf>
    <xf numFmtId="2" fontId="149" fillId="10" borderId="8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66" fontId="136" fillId="0" borderId="4" xfId="0" applyNumberFormat="1" applyFont="1" applyBorder="1" applyAlignment="1">
      <alignment horizontal="center" vertical="center"/>
    </xf>
    <xf numFmtId="9" fontId="90" fillId="0" borderId="4" xfId="0" applyNumberFormat="1" applyFont="1" applyBorder="1" applyAlignment="1">
      <alignment horizontal="center" vertical="center"/>
    </xf>
    <xf numFmtId="2" fontId="90" fillId="0" borderId="4" xfId="0" applyNumberFormat="1" applyFont="1" applyBorder="1" applyAlignment="1">
      <alignment horizontal="center"/>
    </xf>
    <xf numFmtId="16" fontId="169" fillId="0" borderId="4" xfId="0" applyNumberFormat="1" applyFont="1" applyBorder="1" applyAlignment="1">
      <alignment horizontal="center" vertical="center"/>
    </xf>
    <xf numFmtId="166" fontId="167" fillId="0" borderId="4" xfId="0" applyNumberFormat="1" applyFont="1" applyBorder="1" applyAlignment="1">
      <alignment horizontal="center" vertical="center"/>
    </xf>
    <xf numFmtId="1" fontId="90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/>
    </xf>
    <xf numFmtId="0" fontId="0" fillId="12" borderId="6" xfId="0" applyFill="1" applyBorder="1"/>
    <xf numFmtId="0" fontId="76" fillId="12" borderId="8" xfId="0" applyFont="1" applyFill="1" applyBorder="1" applyAlignment="1">
      <alignment horizontal="right" vertical="center"/>
    </xf>
    <xf numFmtId="0" fontId="75" fillId="12" borderId="4" xfId="0" applyFont="1" applyFill="1" applyBorder="1" applyAlignment="1">
      <alignment horizontal="center" vertical="center"/>
    </xf>
    <xf numFmtId="0" fontId="130" fillId="0" borderId="4" xfId="0" applyFont="1" applyBorder="1" applyAlignment="1">
      <alignment horizontal="center" vertical="center"/>
    </xf>
    <xf numFmtId="166" fontId="37" fillId="10" borderId="4" xfId="0" applyNumberFormat="1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9" fontId="77" fillId="2" borderId="4" xfId="0" applyNumberFormat="1" applyFont="1" applyFill="1" applyBorder="1" applyAlignment="1">
      <alignment horizontal="center" vertical="center"/>
    </xf>
    <xf numFmtId="0" fontId="173" fillId="2" borderId="4" xfId="0" applyFont="1" applyFill="1" applyBorder="1" applyAlignment="1">
      <alignment horizontal="center" vertical="center"/>
    </xf>
    <xf numFmtId="0" fontId="120" fillId="3" borderId="4" xfId="0" applyFont="1" applyFill="1" applyBorder="1" applyAlignment="1">
      <alignment horizontal="center" vertical="center"/>
    </xf>
    <xf numFmtId="166" fontId="29" fillId="30" borderId="4" xfId="0" applyNumberFormat="1" applyFont="1" applyFill="1" applyBorder="1" applyAlignment="1">
      <alignment horizontal="center" vertical="center"/>
    </xf>
    <xf numFmtId="1" fontId="11" fillId="10" borderId="4" xfId="0" applyNumberFormat="1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1" fontId="12" fillId="10" borderId="4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6" fillId="22" borderId="9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right"/>
    </xf>
    <xf numFmtId="0" fontId="87" fillId="10" borderId="7" xfId="0" applyFont="1" applyFill="1" applyBorder="1" applyAlignment="1">
      <alignment horizontal="center" vertical="center"/>
    </xf>
    <xf numFmtId="0" fontId="0" fillId="10" borderId="7" xfId="0" applyFill="1" applyBorder="1"/>
    <xf numFmtId="0" fontId="87" fillId="10" borderId="4" xfId="0" applyFont="1" applyFill="1" applyBorder="1" applyAlignment="1">
      <alignment horizontal="center" vertical="center"/>
    </xf>
    <xf numFmtId="0" fontId="134" fillId="0" borderId="4" xfId="0" applyFont="1" applyBorder="1" applyAlignment="1">
      <alignment horizontal="center"/>
    </xf>
    <xf numFmtId="0" fontId="46" fillId="0" borderId="9" xfId="0" applyFont="1" applyBorder="1" applyAlignment="1">
      <alignment horizontal="center" vertical="center"/>
    </xf>
    <xf numFmtId="0" fontId="0" fillId="10" borderId="25" xfId="0" applyFill="1" applyBorder="1"/>
    <xf numFmtId="0" fontId="14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1" fontId="12" fillId="7" borderId="8" xfId="0" applyNumberFormat="1" applyFont="1" applyFill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" fontId="172" fillId="31" borderId="4" xfId="0" applyNumberFormat="1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66" fontId="0" fillId="2" borderId="10" xfId="0" applyNumberFormat="1" applyFill="1" applyBorder="1" applyAlignment="1">
      <alignment horizontal="center" vertical="center"/>
    </xf>
    <xf numFmtId="0" fontId="221" fillId="0" borderId="6" xfId="0" applyFont="1" applyBorder="1" applyAlignment="1">
      <alignment horizontal="center" vertical="center" wrapText="1"/>
    </xf>
    <xf numFmtId="0" fontId="80" fillId="8" borderId="10" xfId="0" applyFont="1" applyFill="1" applyBorder="1" applyAlignment="1">
      <alignment horizontal="center" vertical="center"/>
    </xf>
    <xf numFmtId="166" fontId="0" fillId="8" borderId="10" xfId="0" applyNumberFormat="1" applyFill="1" applyBorder="1" applyAlignment="1">
      <alignment horizontal="center" vertical="center"/>
    </xf>
    <xf numFmtId="2" fontId="211" fillId="35" borderId="8" xfId="0" applyNumberFormat="1" applyFont="1" applyFill="1" applyBorder="1" applyAlignment="1">
      <alignment horizontal="center" vertical="center"/>
    </xf>
    <xf numFmtId="2" fontId="12" fillId="13" borderId="6" xfId="0" applyNumberFormat="1" applyFont="1" applyFill="1" applyBorder="1" applyAlignment="1">
      <alignment horizontal="center" vertical="center"/>
    </xf>
    <xf numFmtId="172" fontId="14" fillId="10" borderId="4" xfId="0" applyNumberFormat="1" applyFont="1" applyFill="1" applyBorder="1" applyAlignment="1">
      <alignment horizontal="center" vertical="center"/>
    </xf>
    <xf numFmtId="1" fontId="172" fillId="31" borderId="27" xfId="0" applyNumberFormat="1" applyFont="1" applyFill="1" applyBorder="1" applyAlignment="1">
      <alignment horizontal="center" vertical="center"/>
    </xf>
    <xf numFmtId="0" fontId="123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6" fontId="215" fillId="26" borderId="4" xfId="0" applyNumberFormat="1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150" fillId="0" borderId="4" xfId="0" applyNumberFormat="1" applyFont="1" applyBorder="1" applyAlignment="1">
      <alignment horizontal="center" vertical="center"/>
    </xf>
    <xf numFmtId="0" fontId="150" fillId="0" borderId="4" xfId="0" applyFont="1" applyBorder="1" applyAlignment="1">
      <alignment horizontal="center" vertical="center"/>
    </xf>
    <xf numFmtId="0" fontId="138" fillId="0" borderId="4" xfId="0" applyFont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76" fillId="20" borderId="4" xfId="0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0" fillId="0" borderId="24" xfId="0" applyBorder="1"/>
    <xf numFmtId="0" fontId="0" fillId="0" borderId="6" xfId="0" applyBorder="1"/>
    <xf numFmtId="0" fontId="24" fillId="0" borderId="0" xfId="0" applyFont="1" applyAlignment="1">
      <alignment horizontal="center" vertical="center"/>
    </xf>
    <xf numFmtId="0" fontId="13" fillId="0" borderId="51" xfId="0" applyFont="1" applyBorder="1"/>
    <xf numFmtId="0" fontId="0" fillId="0" borderId="52" xfId="0" applyBorder="1"/>
    <xf numFmtId="0" fontId="48" fillId="0" borderId="53" xfId="0" applyFont="1" applyBorder="1"/>
    <xf numFmtId="0" fontId="31" fillId="0" borderId="54" xfId="0" applyFont="1" applyBorder="1"/>
    <xf numFmtId="0" fontId="9" fillId="0" borderId="54" xfId="0" applyFont="1" applyBorder="1" applyAlignment="1">
      <alignment shrinkToFit="1"/>
    </xf>
    <xf numFmtId="0" fontId="9" fillId="0" borderId="0" xfId="0" applyFont="1" applyAlignment="1">
      <alignment vertical="top" shrinkToFit="1"/>
    </xf>
    <xf numFmtId="0" fontId="9" fillId="0" borderId="53" xfId="0" applyFont="1" applyBorder="1"/>
    <xf numFmtId="0" fontId="11" fillId="0" borderId="0" xfId="0" applyFont="1"/>
    <xf numFmtId="0" fontId="77" fillId="0" borderId="54" xfId="0" applyFont="1" applyBorder="1"/>
    <xf numFmtId="0" fontId="77" fillId="0" borderId="0" xfId="0" applyFont="1"/>
    <xf numFmtId="0" fontId="3" fillId="0" borderId="0" xfId="0" applyFont="1"/>
    <xf numFmtId="0" fontId="9" fillId="0" borderId="53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28" xfId="0" applyFont="1" applyBorder="1"/>
    <xf numFmtId="165" fontId="11" fillId="10" borderId="17" xfId="1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124" fillId="4" borderId="8" xfId="1" applyNumberFormat="1" applyFont="1" applyFill="1" applyBorder="1" applyAlignment="1" applyProtection="1">
      <alignment horizontal="left" vertical="center"/>
    </xf>
    <xf numFmtId="0" fontId="13" fillId="8" borderId="4" xfId="0" applyFont="1" applyFill="1" applyBorder="1" applyAlignment="1">
      <alignment horizontal="right" vertical="center"/>
    </xf>
    <xf numFmtId="0" fontId="12" fillId="6" borderId="25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36" fillId="10" borderId="20" xfId="0" applyFont="1" applyFill="1" applyBorder="1"/>
    <xf numFmtId="165" fontId="90" fillId="10" borderId="14" xfId="0" applyNumberFormat="1" applyFont="1" applyFill="1" applyBorder="1" applyAlignment="1">
      <alignment vertical="center"/>
    </xf>
    <xf numFmtId="0" fontId="136" fillId="10" borderId="5" xfId="0" applyFont="1" applyFill="1" applyBorder="1"/>
    <xf numFmtId="165" fontId="90" fillId="10" borderId="29" xfId="0" applyNumberFormat="1" applyFont="1" applyFill="1" applyBorder="1" applyAlignment="1">
      <alignment vertical="center"/>
    </xf>
    <xf numFmtId="165" fontId="243" fillId="0" borderId="38" xfId="1" applyNumberFormat="1" applyFont="1" applyBorder="1" applyAlignment="1" applyProtection="1">
      <alignment horizontal="left" vertical="center"/>
    </xf>
    <xf numFmtId="0" fontId="90" fillId="10" borderId="4" xfId="0" applyFont="1" applyFill="1" applyBorder="1" applyAlignment="1">
      <alignment horizontal="center" vertical="center"/>
    </xf>
    <xf numFmtId="0" fontId="137" fillId="11" borderId="4" xfId="0" applyFont="1" applyFill="1" applyBorder="1" applyAlignment="1">
      <alignment horizontal="center" vertical="center"/>
    </xf>
    <xf numFmtId="165" fontId="9" fillId="0" borderId="1" xfId="1" applyNumberFormat="1" applyFont="1" applyBorder="1" applyAlignment="1" applyProtection="1">
      <alignment vertical="center"/>
      <protection hidden="1"/>
    </xf>
    <xf numFmtId="165" fontId="11" fillId="0" borderId="0" xfId="1" applyNumberFormat="1" applyFont="1" applyBorder="1" applyAlignment="1" applyProtection="1">
      <alignment vertical="center"/>
      <protection hidden="1"/>
    </xf>
    <xf numFmtId="165" fontId="131" fillId="25" borderId="4" xfId="1" applyNumberFormat="1" applyFont="1" applyFill="1" applyBorder="1" applyAlignment="1" applyProtection="1">
      <alignment horizontal="right" vertical="center"/>
    </xf>
    <xf numFmtId="165" fontId="164" fillId="0" borderId="4" xfId="1" applyNumberFormat="1" applyFont="1" applyBorder="1" applyAlignment="1" applyProtection="1">
      <alignment vertical="center"/>
    </xf>
    <xf numFmtId="0" fontId="159" fillId="4" borderId="8" xfId="0" applyFont="1" applyFill="1" applyBorder="1" applyAlignment="1">
      <alignment horizontal="center" vertical="center" wrapText="1"/>
    </xf>
    <xf numFmtId="0" fontId="218" fillId="5" borderId="4" xfId="0" applyFont="1" applyFill="1" applyBorder="1" applyAlignment="1">
      <alignment horizontal="center" vertical="center"/>
    </xf>
    <xf numFmtId="165" fontId="39" fillId="4" borderId="8" xfId="1" applyNumberFormat="1" applyFont="1" applyFill="1" applyBorder="1" applyAlignment="1" applyProtection="1">
      <alignment horizontal="left" vertical="center"/>
    </xf>
    <xf numFmtId="165" fontId="141" fillId="0" borderId="8" xfId="1" applyNumberFormat="1" applyFont="1" applyBorder="1" applyAlignment="1" applyProtection="1">
      <alignment horizontal="center" vertical="center"/>
    </xf>
    <xf numFmtId="165" fontId="141" fillId="0" borderId="14" xfId="1" applyNumberFormat="1" applyFont="1" applyBorder="1" applyAlignment="1" applyProtection="1">
      <alignment horizontal="center" vertical="center"/>
    </xf>
    <xf numFmtId="0" fontId="106" fillId="5" borderId="4" xfId="0" applyFont="1" applyFill="1" applyBorder="1" applyAlignment="1">
      <alignment horizontal="center" vertical="center"/>
    </xf>
    <xf numFmtId="0" fontId="244" fillId="5" borderId="4" xfId="0" applyFont="1" applyFill="1" applyBorder="1" applyAlignment="1">
      <alignment horizontal="center" vertical="center"/>
    </xf>
    <xf numFmtId="165" fontId="246" fillId="5" borderId="4" xfId="1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0" applyFont="1" applyAlignment="1">
      <alignment horizontal="left"/>
    </xf>
    <xf numFmtId="0" fontId="11" fillId="0" borderId="28" xfId="0" applyFont="1" applyBorder="1"/>
    <xf numFmtId="165" fontId="245" fillId="6" borderId="8" xfId="1" applyNumberFormat="1" applyFont="1" applyFill="1" applyBorder="1" applyAlignment="1" applyProtection="1">
      <alignment horizontal="right" vertical="center"/>
      <protection locked="0"/>
    </xf>
    <xf numFmtId="1" fontId="196" fillId="28" borderId="4" xfId="0" applyNumberFormat="1" applyFont="1" applyFill="1" applyBorder="1" applyAlignment="1" applyProtection="1">
      <alignment horizontal="center" vertical="center" shrinkToFit="1"/>
      <protection locked="0"/>
    </xf>
    <xf numFmtId="0" fontId="19" fillId="17" borderId="15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66" fontId="216" fillId="0" borderId="4" xfId="0" applyNumberFormat="1" applyFont="1" applyBorder="1" applyAlignment="1">
      <alignment horizontal="center" vertical="center"/>
    </xf>
    <xf numFmtId="9" fontId="102" fillId="0" borderId="4" xfId="0" applyNumberFormat="1" applyFont="1" applyBorder="1" applyAlignment="1">
      <alignment horizontal="center" vertical="center"/>
    </xf>
    <xf numFmtId="2" fontId="102" fillId="0" borderId="4" xfId="0" applyNumberFormat="1" applyFont="1" applyBorder="1" applyAlignment="1">
      <alignment horizontal="center"/>
    </xf>
    <xf numFmtId="0" fontId="102" fillId="0" borderId="4" xfId="0" applyFont="1" applyBorder="1" applyAlignment="1">
      <alignment horizontal="center"/>
    </xf>
    <xf numFmtId="0" fontId="102" fillId="0" borderId="4" xfId="0" applyFont="1" applyBorder="1" applyAlignment="1">
      <alignment horizontal="center" vertical="center"/>
    </xf>
    <xf numFmtId="16" fontId="249" fillId="0" borderId="4" xfId="0" applyNumberFormat="1" applyFont="1" applyBorder="1" applyAlignment="1">
      <alignment horizontal="center" vertical="center"/>
    </xf>
    <xf numFmtId="166" fontId="250" fillId="0" borderId="4" xfId="0" applyNumberFormat="1" applyFont="1" applyBorder="1" applyAlignment="1">
      <alignment horizontal="center" vertical="center"/>
    </xf>
    <xf numFmtId="1" fontId="102" fillId="0" borderId="4" xfId="0" applyNumberFormat="1" applyFont="1" applyBorder="1" applyAlignment="1">
      <alignment horizontal="center" vertical="center"/>
    </xf>
    <xf numFmtId="0" fontId="216" fillId="0" borderId="4" xfId="0" applyFon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251" fillId="0" borderId="4" xfId="0" applyFont="1" applyBorder="1" applyAlignment="1">
      <alignment horizontal="center" vertical="center"/>
    </xf>
    <xf numFmtId="0" fontId="252" fillId="0" borderId="4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53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54" fillId="0" borderId="4" xfId="0" applyNumberFormat="1" applyFont="1" applyBorder="1" applyAlignment="1">
      <alignment horizontal="center" vertical="center"/>
    </xf>
    <xf numFmtId="0" fontId="255" fillId="26" borderId="9" xfId="0" applyFont="1" applyFill="1" applyBorder="1" applyAlignment="1">
      <alignment horizontal="center" vertical="center" wrapText="1"/>
    </xf>
    <xf numFmtId="0" fontId="256" fillId="26" borderId="4" xfId="0" applyFont="1" applyFill="1" applyBorder="1" applyAlignment="1">
      <alignment horizontal="center" vertical="center" wrapText="1"/>
    </xf>
    <xf numFmtId="1" fontId="257" fillId="10" borderId="4" xfId="0" applyNumberFormat="1" applyFont="1" applyFill="1" applyBorder="1" applyAlignment="1">
      <alignment horizontal="center" vertical="center"/>
    </xf>
    <xf numFmtId="9" fontId="84" fillId="28" borderId="20" xfId="0" applyNumberFormat="1" applyFont="1" applyFill="1" applyBorder="1" applyAlignment="1">
      <alignment horizontal="center" vertical="center"/>
    </xf>
    <xf numFmtId="0" fontId="128" fillId="28" borderId="5" xfId="0" applyFont="1" applyFill="1" applyBorder="1" applyAlignment="1">
      <alignment horizontal="center"/>
    </xf>
    <xf numFmtId="0" fontId="9" fillId="28" borderId="5" xfId="0" applyFont="1" applyFill="1" applyBorder="1" applyAlignment="1">
      <alignment vertical="center"/>
    </xf>
    <xf numFmtId="0" fontId="258" fillId="28" borderId="14" xfId="0" applyFont="1" applyFill="1" applyBorder="1" applyAlignment="1">
      <alignment horizontal="right" vertical="center"/>
    </xf>
    <xf numFmtId="165" fontId="9" fillId="28" borderId="29" xfId="1" applyNumberFormat="1" applyFont="1" applyFill="1" applyBorder="1" applyAlignment="1" applyProtection="1">
      <alignment horizontal="right" vertical="center"/>
    </xf>
    <xf numFmtId="165" fontId="100" fillId="25" borderId="4" xfId="1" applyNumberFormat="1" applyFont="1" applyFill="1" applyBorder="1" applyAlignment="1" applyProtection="1">
      <alignment horizontal="center" vertical="center"/>
    </xf>
    <xf numFmtId="9" fontId="102" fillId="25" borderId="4" xfId="0" applyNumberFormat="1" applyFont="1" applyFill="1" applyBorder="1" applyAlignment="1">
      <alignment horizontal="center" vertical="center"/>
    </xf>
    <xf numFmtId="165" fontId="100" fillId="25" borderId="4" xfId="1" applyNumberFormat="1" applyFont="1" applyFill="1" applyBorder="1" applyAlignment="1" applyProtection="1">
      <alignment vertical="center"/>
    </xf>
    <xf numFmtId="165" fontId="205" fillId="25" borderId="4" xfId="1" applyNumberFormat="1" applyFont="1" applyFill="1" applyBorder="1" applyAlignment="1" applyProtection="1">
      <alignment horizontal="right" vertical="center"/>
    </xf>
    <xf numFmtId="165" fontId="102" fillId="25" borderId="4" xfId="1" applyNumberFormat="1" applyFont="1" applyFill="1" applyBorder="1" applyAlignment="1" applyProtection="1">
      <alignment horizontal="center" vertical="center"/>
    </xf>
    <xf numFmtId="165" fontId="100" fillId="10" borderId="4" xfId="1" applyNumberFormat="1" applyFont="1" applyFill="1" applyBorder="1" applyAlignment="1" applyProtection="1">
      <alignment vertical="center"/>
    </xf>
    <xf numFmtId="0" fontId="259" fillId="28" borderId="6" xfId="0" applyFont="1" applyFill="1" applyBorder="1" applyAlignment="1">
      <alignment horizontal="center"/>
    </xf>
    <xf numFmtId="165" fontId="260" fillId="28" borderId="8" xfId="1" applyNumberFormat="1" applyFont="1" applyFill="1" applyBorder="1" applyAlignment="1" applyProtection="1">
      <alignment horizontal="right" vertical="center"/>
    </xf>
    <xf numFmtId="165" fontId="260" fillId="10" borderId="4" xfId="1" applyNumberFormat="1" applyFont="1" applyFill="1" applyBorder="1" applyAlignment="1" applyProtection="1">
      <alignment horizontal="center" vertical="center"/>
    </xf>
    <xf numFmtId="0" fontId="261" fillId="26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0" fillId="0" borderId="4" xfId="0" applyFont="1" applyBorder="1" applyAlignment="1">
      <alignment horizontal="center" vertical="center"/>
    </xf>
    <xf numFmtId="0" fontId="263" fillId="0" borderId="4" xfId="0" applyFont="1" applyBorder="1" applyAlignment="1">
      <alignment horizontal="center" vertical="center"/>
    </xf>
    <xf numFmtId="0" fontId="262" fillId="26" borderId="4" xfId="0" applyFont="1" applyFill="1" applyBorder="1" applyAlignment="1">
      <alignment horizontal="center" wrapText="1"/>
    </xf>
    <xf numFmtId="0" fontId="264" fillId="0" borderId="4" xfId="0" applyFont="1" applyBorder="1" applyAlignment="1">
      <alignment horizontal="center"/>
    </xf>
    <xf numFmtId="165" fontId="90" fillId="0" borderId="8" xfId="1" applyNumberFormat="1" applyFont="1" applyBorder="1" applyAlignment="1" applyProtection="1">
      <alignment horizontal="right" vertical="center"/>
    </xf>
    <xf numFmtId="0" fontId="264" fillId="2" borderId="4" xfId="0" applyFont="1" applyFill="1" applyBorder="1" applyAlignment="1">
      <alignment horizontal="center"/>
    </xf>
    <xf numFmtId="0" fontId="21" fillId="0" borderId="6" xfId="0" applyFont="1" applyBorder="1" applyAlignment="1">
      <alignment horizontal="left"/>
    </xf>
    <xf numFmtId="0" fontId="20" fillId="0" borderId="0" xfId="0" applyFont="1" applyAlignment="1">
      <alignment horizontal="right"/>
    </xf>
    <xf numFmtId="0" fontId="50" fillId="0" borderId="4" xfId="0" applyFont="1" applyBorder="1" applyAlignment="1">
      <alignment horizontal="center" vertical="center"/>
    </xf>
    <xf numFmtId="9" fontId="266" fillId="0" borderId="4" xfId="0" applyNumberFormat="1" applyFont="1" applyBorder="1" applyAlignment="1">
      <alignment horizontal="center" vertical="center"/>
    </xf>
    <xf numFmtId="1" fontId="114" fillId="10" borderId="4" xfId="0" applyNumberFormat="1" applyFont="1" applyFill="1" applyBorder="1" applyAlignment="1">
      <alignment horizontal="right" vertical="center"/>
    </xf>
    <xf numFmtId="0" fontId="11" fillId="6" borderId="25" xfId="0" applyFont="1" applyFill="1" applyBorder="1" applyAlignment="1">
      <alignment horizontal="left"/>
    </xf>
    <xf numFmtId="165" fontId="15" fillId="10" borderId="4" xfId="0" applyNumberFormat="1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left"/>
    </xf>
    <xf numFmtId="1" fontId="267" fillId="0" borderId="4" xfId="0" applyNumberFormat="1" applyFont="1" applyBorder="1" applyAlignment="1">
      <alignment horizontal="center"/>
    </xf>
    <xf numFmtId="1" fontId="267" fillId="2" borderId="4" xfId="0" applyNumberFormat="1" applyFont="1" applyFill="1" applyBorder="1" applyAlignment="1">
      <alignment horizontal="center"/>
    </xf>
    <xf numFmtId="0" fontId="136" fillId="10" borderId="48" xfId="0" applyFont="1" applyFill="1" applyBorder="1"/>
    <xf numFmtId="165" fontId="90" fillId="10" borderId="47" xfId="0" applyNumberFormat="1" applyFont="1" applyFill="1" applyBorder="1" applyAlignment="1">
      <alignment vertical="center"/>
    </xf>
    <xf numFmtId="165" fontId="12" fillId="6" borderId="32" xfId="0" applyNumberFormat="1" applyFont="1" applyFill="1" applyBorder="1" applyAlignment="1">
      <alignment horizontal="center" vertical="center"/>
    </xf>
    <xf numFmtId="9" fontId="12" fillId="6" borderId="33" xfId="0" applyNumberFormat="1" applyFont="1" applyFill="1" applyBorder="1" applyAlignment="1">
      <alignment horizontal="center" vertical="center"/>
    </xf>
    <xf numFmtId="165" fontId="11" fillId="10" borderId="4" xfId="1" applyNumberFormat="1" applyFont="1" applyFill="1" applyBorder="1" applyAlignment="1" applyProtection="1">
      <alignment vertical="center"/>
    </xf>
    <xf numFmtId="0" fontId="8" fillId="0" borderId="6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165" fontId="90" fillId="0" borderId="34" xfId="1" applyNumberFormat="1" applyFont="1" applyBorder="1" applyAlignment="1" applyProtection="1">
      <alignment horizontal="center" vertical="center"/>
    </xf>
    <xf numFmtId="165" fontId="9" fillId="0" borderId="32" xfId="1" applyNumberFormat="1" applyFont="1" applyBorder="1" applyAlignment="1" applyProtection="1">
      <alignment horizontal="center" vertical="center"/>
    </xf>
    <xf numFmtId="165" fontId="17" fillId="0" borderId="8" xfId="1" applyNumberFormat="1" applyFont="1" applyBorder="1" applyAlignment="1" applyProtection="1">
      <alignment horizontal="center" vertical="center"/>
    </xf>
    <xf numFmtId="9" fontId="17" fillId="0" borderId="6" xfId="0" applyNumberFormat="1" applyFont="1" applyBorder="1" applyAlignment="1">
      <alignment horizontal="center" vertical="center"/>
    </xf>
    <xf numFmtId="165" fontId="17" fillId="0" borderId="4" xfId="1" applyNumberFormat="1" applyFont="1" applyBorder="1" applyAlignment="1" applyProtection="1">
      <alignment horizontal="center" vertical="center"/>
    </xf>
    <xf numFmtId="9" fontId="17" fillId="0" borderId="4" xfId="0" applyNumberFormat="1" applyFont="1" applyBorder="1" applyAlignment="1">
      <alignment horizontal="center" vertical="center"/>
    </xf>
    <xf numFmtId="9" fontId="17" fillId="0" borderId="32" xfId="0" applyNumberFormat="1" applyFont="1" applyBorder="1" applyAlignment="1">
      <alignment horizontal="center" vertical="center"/>
    </xf>
    <xf numFmtId="165" fontId="52" fillId="0" borderId="32" xfId="1" applyNumberFormat="1" applyFont="1" applyBorder="1" applyAlignment="1" applyProtection="1">
      <alignment horizontal="center" vertical="top"/>
    </xf>
    <xf numFmtId="165" fontId="102" fillId="10" borderId="4" xfId="1" applyNumberFormat="1" applyFont="1" applyFill="1" applyBorder="1" applyAlignment="1" applyProtection="1">
      <alignment vertical="center"/>
    </xf>
    <xf numFmtId="0" fontId="216" fillId="0" borderId="0" xfId="0" applyFont="1"/>
    <xf numFmtId="0" fontId="47" fillId="2" borderId="6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229" fillId="31" borderId="6" xfId="0" applyFont="1" applyFill="1" applyBorder="1" applyAlignment="1">
      <alignment horizontal="center" vertical="center"/>
    </xf>
    <xf numFmtId="0" fontId="229" fillId="31" borderId="7" xfId="0" applyFont="1" applyFill="1" applyBorder="1" applyAlignment="1">
      <alignment horizontal="center" vertical="center"/>
    </xf>
    <xf numFmtId="0" fontId="229" fillId="31" borderId="8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47" fillId="2" borderId="14" xfId="0" applyFont="1" applyFill="1" applyBorder="1" applyAlignment="1">
      <alignment horizontal="center" vertical="center"/>
    </xf>
    <xf numFmtId="165" fontId="99" fillId="7" borderId="20" xfId="1" applyNumberFormat="1" applyFont="1" applyFill="1" applyBorder="1" applyAlignment="1" applyProtection="1">
      <alignment horizontal="center" vertical="center"/>
    </xf>
    <xf numFmtId="165" fontId="99" fillId="7" borderId="14" xfId="1" applyNumberFormat="1" applyFont="1" applyFill="1" applyBorder="1" applyAlignment="1" applyProtection="1">
      <alignment horizontal="center" vertical="center"/>
    </xf>
    <xf numFmtId="165" fontId="99" fillId="7" borderId="25" xfId="1" applyNumberFormat="1" applyFont="1" applyFill="1" applyBorder="1" applyAlignment="1" applyProtection="1">
      <alignment horizontal="center" vertical="center"/>
    </xf>
    <xf numFmtId="165" fontId="99" fillId="7" borderId="24" xfId="1" applyNumberFormat="1" applyFont="1" applyFill="1" applyBorder="1" applyAlignment="1" applyProtection="1">
      <alignment horizontal="center" vertical="center"/>
    </xf>
    <xf numFmtId="165" fontId="28" fillId="7" borderId="20" xfId="1" applyNumberFormat="1" applyFont="1" applyFill="1" applyBorder="1" applyAlignment="1" applyProtection="1">
      <alignment horizontal="center" vertical="center"/>
    </xf>
    <xf numFmtId="165" fontId="28" fillId="7" borderId="14" xfId="1" applyNumberFormat="1" applyFont="1" applyFill="1" applyBorder="1" applyAlignment="1" applyProtection="1">
      <alignment horizontal="center" vertical="center"/>
    </xf>
    <xf numFmtId="165" fontId="28" fillId="7" borderId="25" xfId="1" applyNumberFormat="1" applyFont="1" applyFill="1" applyBorder="1" applyAlignment="1" applyProtection="1">
      <alignment horizontal="center" vertical="center"/>
    </xf>
    <xf numFmtId="165" fontId="28" fillId="7" borderId="24" xfId="1" applyNumberFormat="1" applyFont="1" applyFill="1" applyBorder="1" applyAlignment="1" applyProtection="1">
      <alignment horizontal="center" vertical="center"/>
    </xf>
    <xf numFmtId="0" fontId="231" fillId="0" borderId="6" xfId="0" applyFont="1" applyBorder="1" applyAlignment="1">
      <alignment horizontal="left" vertical="center" wrapText="1"/>
    </xf>
    <xf numFmtId="0" fontId="231" fillId="0" borderId="8" xfId="0" applyFont="1" applyBorder="1" applyAlignment="1">
      <alignment horizontal="left" vertical="center" wrapText="1"/>
    </xf>
    <xf numFmtId="10" fontId="1" fillId="36" borderId="0" xfId="0" applyNumberFormat="1" applyFont="1" applyFill="1" applyAlignment="1">
      <alignment horizontal="center"/>
    </xf>
    <xf numFmtId="0" fontId="188" fillId="2" borderId="6" xfId="0" applyFont="1" applyFill="1" applyBorder="1" applyAlignment="1">
      <alignment horizontal="center" vertical="center"/>
    </xf>
    <xf numFmtId="0" fontId="188" fillId="2" borderId="7" xfId="0" applyFont="1" applyFill="1" applyBorder="1" applyAlignment="1">
      <alignment horizontal="center" vertical="center"/>
    </xf>
    <xf numFmtId="0" fontId="188" fillId="2" borderId="14" xfId="0" applyFont="1" applyFill="1" applyBorder="1" applyAlignment="1">
      <alignment horizontal="center" vertical="center"/>
    </xf>
    <xf numFmtId="0" fontId="28" fillId="33" borderId="4" xfId="0" applyFont="1" applyFill="1" applyBorder="1" applyAlignment="1">
      <alignment horizontal="center" vertical="center" wrapText="1"/>
    </xf>
    <xf numFmtId="0" fontId="227" fillId="0" borderId="0" xfId="0" applyFont="1" applyAlignment="1">
      <alignment horizontal="left" vertical="center" wrapText="1"/>
    </xf>
    <xf numFmtId="0" fontId="199" fillId="0" borderId="6" xfId="0" applyFont="1" applyBorder="1" applyAlignment="1">
      <alignment horizontal="left" vertical="center"/>
    </xf>
    <xf numFmtId="0" fontId="199" fillId="0" borderId="8" xfId="0" applyFont="1" applyBorder="1" applyAlignment="1">
      <alignment horizontal="left" vertical="center"/>
    </xf>
    <xf numFmtId="0" fontId="78" fillId="2" borderId="6" xfId="0" applyFont="1" applyFill="1" applyBorder="1" applyAlignment="1">
      <alignment horizontal="center" vertical="center"/>
    </xf>
    <xf numFmtId="0" fontId="78" fillId="2" borderId="7" xfId="0" applyFont="1" applyFill="1" applyBorder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10" fontId="1" fillId="36" borderId="20" xfId="0" applyNumberFormat="1" applyFont="1" applyFill="1" applyBorder="1" applyAlignment="1">
      <alignment horizontal="center"/>
    </xf>
    <xf numFmtId="10" fontId="1" fillId="36" borderId="28" xfId="0" applyNumberFormat="1" applyFont="1" applyFill="1" applyBorder="1" applyAlignment="1">
      <alignment horizontal="center"/>
    </xf>
    <xf numFmtId="10" fontId="1" fillId="36" borderId="14" xfId="0" applyNumberFormat="1" applyFont="1" applyFill="1" applyBorder="1" applyAlignment="1">
      <alignment horizontal="center"/>
    </xf>
    <xf numFmtId="10" fontId="1" fillId="36" borderId="29" xfId="0" applyNumberFormat="1" applyFont="1" applyFill="1" applyBorder="1" applyAlignment="1">
      <alignment horizontal="center"/>
    </xf>
    <xf numFmtId="10" fontId="1" fillId="36" borderId="24" xfId="0" applyNumberFormat="1" applyFont="1" applyFill="1" applyBorder="1" applyAlignment="1">
      <alignment horizontal="center"/>
    </xf>
    <xf numFmtId="10" fontId="1" fillId="36" borderId="25" xfId="0" applyNumberFormat="1" applyFont="1" applyFill="1" applyBorder="1" applyAlignment="1">
      <alignment horizontal="center"/>
    </xf>
    <xf numFmtId="10" fontId="1" fillId="36" borderId="1" xfId="0" applyNumberFormat="1" applyFont="1" applyFill="1" applyBorder="1" applyAlignment="1">
      <alignment horizontal="center"/>
    </xf>
    <xf numFmtId="10" fontId="1" fillId="36" borderId="5" xfId="0" applyNumberFormat="1" applyFont="1" applyFill="1" applyBorder="1" applyAlignment="1">
      <alignment horizontal="center"/>
    </xf>
    <xf numFmtId="49" fontId="195" fillId="0" borderId="6" xfId="1" applyNumberFormat="1" applyFont="1" applyFill="1" applyBorder="1" applyAlignment="1" applyProtection="1">
      <alignment horizontal="left" vertical="top" wrapText="1"/>
      <protection locked="0"/>
    </xf>
    <xf numFmtId="49" fontId="195" fillId="0" borderId="7" xfId="1" applyNumberFormat="1" applyFont="1" applyFill="1" applyBorder="1" applyAlignment="1" applyProtection="1">
      <alignment horizontal="left" vertical="top" wrapText="1"/>
      <protection locked="0"/>
    </xf>
    <xf numFmtId="49" fontId="195" fillId="0" borderId="8" xfId="1" applyNumberFormat="1" applyFont="1" applyFill="1" applyBorder="1" applyAlignment="1" applyProtection="1">
      <alignment horizontal="left" vertical="top" wrapText="1"/>
      <protection locked="0"/>
    </xf>
    <xf numFmtId="0" fontId="213" fillId="19" borderId="6" xfId="0" applyFont="1" applyFill="1" applyBorder="1" applyAlignment="1">
      <alignment horizontal="center" vertical="center"/>
    </xf>
    <xf numFmtId="0" fontId="213" fillId="19" borderId="7" xfId="0" applyFont="1" applyFill="1" applyBorder="1" applyAlignment="1">
      <alignment horizontal="center" vertical="center"/>
    </xf>
    <xf numFmtId="0" fontId="213" fillId="19" borderId="8" xfId="0" applyFont="1" applyFill="1" applyBorder="1" applyAlignment="1">
      <alignment horizontal="center" vertical="center"/>
    </xf>
    <xf numFmtId="0" fontId="232" fillId="31" borderId="20" xfId="0" applyFont="1" applyFill="1" applyBorder="1" applyAlignment="1">
      <alignment horizontal="center" vertical="center"/>
    </xf>
    <xf numFmtId="0" fontId="232" fillId="31" borderId="28" xfId="0" applyFont="1" applyFill="1" applyBorder="1" applyAlignment="1">
      <alignment horizontal="center" vertical="center"/>
    </xf>
    <xf numFmtId="0" fontId="232" fillId="31" borderId="14" xfId="0" applyFont="1" applyFill="1" applyBorder="1" applyAlignment="1">
      <alignment horizontal="center" vertical="center"/>
    </xf>
    <xf numFmtId="0" fontId="232" fillId="31" borderId="25" xfId="0" applyFont="1" applyFill="1" applyBorder="1" applyAlignment="1">
      <alignment horizontal="center" vertical="center"/>
    </xf>
    <xf numFmtId="0" fontId="232" fillId="31" borderId="1" xfId="0" applyFont="1" applyFill="1" applyBorder="1" applyAlignment="1">
      <alignment horizontal="center" vertical="center"/>
    </xf>
    <xf numFmtId="0" fontId="232" fillId="31" borderId="24" xfId="0" applyFont="1" applyFill="1" applyBorder="1" applyAlignment="1">
      <alignment horizontal="center" vertical="center"/>
    </xf>
    <xf numFmtId="0" fontId="214" fillId="23" borderId="20" xfId="0" applyFont="1" applyFill="1" applyBorder="1" applyAlignment="1">
      <alignment horizontal="center" vertical="top"/>
    </xf>
    <xf numFmtId="0" fontId="214" fillId="23" borderId="28" xfId="0" applyFont="1" applyFill="1" applyBorder="1" applyAlignment="1">
      <alignment horizontal="center" vertical="top"/>
    </xf>
    <xf numFmtId="0" fontId="214" fillId="23" borderId="14" xfId="0" applyFont="1" applyFill="1" applyBorder="1" applyAlignment="1">
      <alignment horizontal="center" vertical="top"/>
    </xf>
    <xf numFmtId="0" fontId="214" fillId="23" borderId="5" xfId="0" applyFont="1" applyFill="1" applyBorder="1" applyAlignment="1">
      <alignment horizontal="center" vertical="top"/>
    </xf>
    <xf numFmtId="0" fontId="214" fillId="23" borderId="0" xfId="0" applyFont="1" applyFill="1" applyAlignment="1">
      <alignment horizontal="center" vertical="top"/>
    </xf>
    <xf numFmtId="0" fontId="214" fillId="23" borderId="29" xfId="0" applyFont="1" applyFill="1" applyBorder="1" applyAlignment="1">
      <alignment horizontal="center" vertical="top"/>
    </xf>
    <xf numFmtId="0" fontId="242" fillId="3" borderId="9" xfId="0" applyFont="1" applyFill="1" applyBorder="1" applyAlignment="1">
      <alignment horizontal="center" vertical="center" wrapText="1"/>
    </xf>
    <xf numFmtId="0" fontId="242" fillId="3" borderId="15" xfId="0" applyFont="1" applyFill="1" applyBorder="1" applyAlignment="1">
      <alignment horizontal="center" vertical="center" wrapText="1"/>
    </xf>
    <xf numFmtId="0" fontId="242" fillId="3" borderId="10" xfId="0" applyFont="1" applyFill="1" applyBorder="1" applyAlignment="1">
      <alignment horizontal="center" vertical="center" wrapText="1"/>
    </xf>
    <xf numFmtId="165" fontId="164" fillId="0" borderId="37" xfId="1" applyNumberFormat="1" applyFont="1" applyBorder="1" applyAlignment="1" applyProtection="1">
      <alignment horizontal="right" vertical="center"/>
    </xf>
    <xf numFmtId="165" fontId="164" fillId="0" borderId="8" xfId="1" applyNumberFormat="1" applyFont="1" applyBorder="1" applyAlignment="1" applyProtection="1">
      <alignment horizontal="right" vertical="center"/>
    </xf>
    <xf numFmtId="165" fontId="12" fillId="0" borderId="37" xfId="1" applyNumberFormat="1" applyFont="1" applyBorder="1" applyAlignment="1" applyProtection="1">
      <alignment horizontal="right" vertical="center"/>
    </xf>
    <xf numFmtId="165" fontId="12" fillId="0" borderId="8" xfId="1" applyNumberFormat="1" applyFont="1" applyBorder="1" applyAlignment="1" applyProtection="1">
      <alignment horizontal="right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165" fontId="14" fillId="0" borderId="0" xfId="1" applyNumberFormat="1" applyFont="1" applyBorder="1" applyAlignment="1" applyProtection="1">
      <alignment horizontal="right" vertical="center"/>
    </xf>
    <xf numFmtId="0" fontId="59" fillId="4" borderId="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11" fillId="0" borderId="3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09" fillId="0" borderId="20" xfId="0" applyFont="1" applyBorder="1" applyAlignment="1">
      <alignment horizontal="right" vertical="center"/>
    </xf>
    <xf numFmtId="0" fontId="109" fillId="0" borderId="28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265" fillId="0" borderId="0" xfId="0" applyFont="1" applyAlignment="1">
      <alignment horizontal="center"/>
    </xf>
    <xf numFmtId="0" fontId="26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59" fillId="4" borderId="20" xfId="0" applyFont="1" applyFill="1" applyBorder="1" applyAlignment="1">
      <alignment horizontal="center" vertical="center"/>
    </xf>
    <xf numFmtId="0" fontId="159" fillId="4" borderId="14" xfId="0" applyFont="1" applyFill="1" applyBorder="1" applyAlignment="1">
      <alignment horizontal="center" vertical="center"/>
    </xf>
    <xf numFmtId="0" fontId="159" fillId="4" borderId="33" xfId="0" applyFont="1" applyFill="1" applyBorder="1" applyAlignment="1">
      <alignment horizontal="center" vertical="center"/>
    </xf>
    <xf numFmtId="0" fontId="159" fillId="4" borderId="3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49" fontId="12" fillId="0" borderId="0" xfId="1" applyNumberFormat="1" applyFont="1" applyFill="1" applyBorder="1" applyAlignment="1" applyProtection="1">
      <alignment horizontal="left" vertical="center" shrinkToFit="1"/>
    </xf>
    <xf numFmtId="0" fontId="54" fillId="0" borderId="0" xfId="0" applyFont="1" applyAlignment="1">
      <alignment horizontal="justify" vertical="top" wrapText="1"/>
    </xf>
    <xf numFmtId="0" fontId="67" fillId="0" borderId="0" xfId="0" applyFont="1" applyAlignment="1" applyProtection="1">
      <alignment horizontal="left"/>
      <protection hidden="1"/>
    </xf>
    <xf numFmtId="0" fontId="95" fillId="0" borderId="0" xfId="0" applyFont="1" applyAlignment="1">
      <alignment horizontal="justify" vertical="top" wrapText="1"/>
    </xf>
    <xf numFmtId="0" fontId="13" fillId="0" borderId="0" xfId="0" applyFont="1" applyAlignment="1">
      <alignment horizontal="left" vertical="top" wrapText="1"/>
    </xf>
    <xf numFmtId="0" fontId="66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top" wrapText="1"/>
    </xf>
    <xf numFmtId="0" fontId="9" fillId="0" borderId="0" xfId="0" applyFont="1" applyAlignment="1">
      <alignment horizontal="justify" vertical="center" wrapText="1"/>
    </xf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justify" vertical="top" wrapText="1"/>
    </xf>
    <xf numFmtId="0" fontId="67" fillId="0" borderId="0" xfId="0" applyFont="1" applyAlignment="1" applyProtection="1">
      <alignment horizontal="center" vertical="top" wrapText="1"/>
      <protection hidden="1"/>
    </xf>
    <xf numFmtId="0" fontId="73" fillId="0" borderId="0" xfId="0" applyFont="1" applyAlignment="1" applyProtection="1">
      <alignment horizontal="center" vertical="center"/>
      <protection hidden="1"/>
    </xf>
    <xf numFmtId="49" fontId="33" fillId="0" borderId="0" xfId="0" applyNumberFormat="1" applyFont="1" applyAlignment="1">
      <alignment horizontal="left" vertical="top" wrapText="1"/>
    </xf>
    <xf numFmtId="1" fontId="9" fillId="0" borderId="20" xfId="0" applyNumberFormat="1" applyFont="1" applyBorder="1" applyAlignment="1" applyProtection="1">
      <alignment horizontal="center" vertical="center" wrapText="1"/>
      <protection hidden="1"/>
    </xf>
    <xf numFmtId="1" fontId="9" fillId="0" borderId="14" xfId="0" applyNumberFormat="1" applyFont="1" applyBorder="1" applyAlignment="1" applyProtection="1">
      <alignment horizontal="center" vertical="center" wrapText="1"/>
      <protection hidden="1"/>
    </xf>
    <xf numFmtId="1" fontId="9" fillId="0" borderId="25" xfId="0" applyNumberFormat="1" applyFont="1" applyBorder="1" applyAlignment="1" applyProtection="1">
      <alignment horizontal="center" vertical="center" wrapText="1"/>
      <protection hidden="1"/>
    </xf>
    <xf numFmtId="1" fontId="9" fillId="0" borderId="24" xfId="0" applyNumberFormat="1" applyFont="1" applyBorder="1" applyAlignment="1" applyProtection="1">
      <alignment horizontal="center" vertical="center" wrapText="1"/>
      <protection hidden="1"/>
    </xf>
    <xf numFmtId="0" fontId="48" fillId="0" borderId="0" xfId="0" applyFont="1" applyAlignment="1" applyProtection="1">
      <alignment horizontal="left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4" fillId="0" borderId="28" xfId="0" applyFont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right" vertical="center"/>
    </xf>
    <xf numFmtId="0" fontId="9" fillId="0" borderId="5" xfId="0" applyFont="1" applyBorder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48" fillId="0" borderId="6" xfId="0" applyFont="1" applyBorder="1" applyAlignment="1" applyProtection="1">
      <alignment horizontal="center" vertical="center"/>
      <protection hidden="1"/>
    </xf>
    <xf numFmtId="0" fontId="48" fillId="0" borderId="8" xfId="0" applyFont="1" applyBorder="1" applyAlignment="1" applyProtection="1">
      <alignment horizontal="center" vertical="center"/>
      <protection hidden="1"/>
    </xf>
    <xf numFmtId="1" fontId="11" fillId="0" borderId="0" xfId="0" applyNumberFormat="1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9" fillId="0" borderId="25" xfId="0" applyFont="1" applyBorder="1" applyAlignment="1" applyProtection="1">
      <alignment horizontal="left" vertical="center" wrapText="1"/>
      <protection hidden="1"/>
    </xf>
    <xf numFmtId="0" fontId="9" fillId="0" borderId="1" xfId="0" applyFont="1" applyBorder="1" applyAlignment="1" applyProtection="1">
      <alignment horizontal="left" vertical="center" wrapText="1"/>
      <protection hidden="1"/>
    </xf>
    <xf numFmtId="171" fontId="46" fillId="0" borderId="1" xfId="0" applyNumberFormat="1" applyFont="1" applyBorder="1" applyAlignment="1" applyProtection="1">
      <alignment horizontal="left" vertical="center"/>
      <protection hidden="1"/>
    </xf>
    <xf numFmtId="0" fontId="99" fillId="0" borderId="1" xfId="0" applyFont="1" applyBorder="1" applyAlignment="1" applyProtection="1">
      <alignment horizontal="center" vertical="center"/>
      <protection hidden="1"/>
    </xf>
    <xf numFmtId="1" fontId="14" fillId="0" borderId="28" xfId="0" applyNumberFormat="1" applyFont="1" applyBorder="1" applyAlignment="1" applyProtection="1">
      <alignment horizontal="left" vertical="center"/>
      <protection hidden="1"/>
    </xf>
    <xf numFmtId="1" fontId="12" fillId="0" borderId="0" xfId="0" applyNumberFormat="1" applyFont="1" applyAlignment="1" applyProtection="1">
      <alignment horizontal="left" vertical="top" wrapText="1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0" fontId="9" fillId="0" borderId="5" xfId="0" applyFont="1" applyBorder="1" applyAlignment="1" applyProtection="1">
      <alignment horizontal="left" vertical="top"/>
      <protection hidden="1"/>
    </xf>
    <xf numFmtId="0" fontId="72" fillId="0" borderId="0" xfId="0" applyFont="1" applyAlignment="1" applyProtection="1">
      <alignment horizontal="left" vertical="center"/>
      <protection hidden="1"/>
    </xf>
    <xf numFmtId="170" fontId="71" fillId="0" borderId="0" xfId="0" applyNumberFormat="1" applyFont="1" applyAlignment="1" applyProtection="1">
      <alignment horizontal="justify" vertical="top"/>
      <protection hidden="1"/>
    </xf>
    <xf numFmtId="0" fontId="61" fillId="0" borderId="0" xfId="0" applyFont="1" applyAlignment="1" applyProtection="1">
      <alignment horizontal="left" vertical="center"/>
      <protection hidden="1"/>
    </xf>
    <xf numFmtId="1" fontId="72" fillId="0" borderId="0" xfId="0" applyNumberFormat="1" applyFont="1" applyAlignment="1" applyProtection="1">
      <alignment horizontal="left" vertical="top" wrapText="1"/>
      <protection hidden="1"/>
    </xf>
    <xf numFmtId="0" fontId="72" fillId="0" borderId="0" xfId="0" applyFont="1" applyAlignment="1" applyProtection="1">
      <alignment horizontal="justify" vertical="top" wrapText="1"/>
      <protection hidden="1"/>
    </xf>
    <xf numFmtId="0" fontId="101" fillId="0" borderId="0" xfId="0" applyFont="1" applyAlignment="1">
      <alignment horizontal="center" vertical="center"/>
    </xf>
    <xf numFmtId="0" fontId="67" fillId="0" borderId="0" xfId="0" applyFont="1" applyAlignment="1" applyProtection="1">
      <alignment horizontal="center" vertical="center" wrapText="1"/>
      <protection hidden="1"/>
    </xf>
    <xf numFmtId="0" fontId="103" fillId="0" borderId="0" xfId="0" applyFont="1" applyAlignment="1">
      <alignment horizontal="right" vertical="top"/>
    </xf>
    <xf numFmtId="0" fontId="100" fillId="0" borderId="0" xfId="0" applyFont="1" applyAlignment="1">
      <alignment horizontal="distributed" vertical="center"/>
    </xf>
    <xf numFmtId="0" fontId="202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center"/>
    </xf>
    <xf numFmtId="0" fontId="202" fillId="0" borderId="0" xfId="0" applyFont="1" applyAlignment="1">
      <alignment horizontal="distributed" vertical="center"/>
    </xf>
    <xf numFmtId="49" fontId="33" fillId="0" borderId="0" xfId="0" applyNumberFormat="1" applyFont="1" applyAlignment="1">
      <alignment vertical="top"/>
    </xf>
    <xf numFmtId="0" fontId="102" fillId="0" borderId="0" xfId="0" applyFont="1" applyAlignment="1">
      <alignment horizontal="distributed" vertical="center"/>
    </xf>
    <xf numFmtId="0" fontId="102" fillId="0" borderId="0" xfId="0" applyFont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11" fillId="0" borderId="53" xfId="0" applyFont="1" applyBorder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54" xfId="0" applyFont="1" applyBorder="1" applyAlignment="1">
      <alignment horizontal="justify" vertical="center" wrapText="1"/>
    </xf>
    <xf numFmtId="0" fontId="11" fillId="0" borderId="55" xfId="0" applyFont="1" applyBorder="1" applyAlignment="1">
      <alignment horizontal="justify" vertical="center" wrapText="1"/>
    </xf>
    <xf numFmtId="0" fontId="11" fillId="0" borderId="56" xfId="0" applyFont="1" applyBorder="1" applyAlignment="1">
      <alignment horizontal="justify" vertical="center" wrapText="1"/>
    </xf>
    <xf numFmtId="0" fontId="11" fillId="0" borderId="57" xfId="0" applyFont="1" applyBorder="1" applyAlignment="1">
      <alignment horizontal="justify" vertical="center" wrapText="1"/>
    </xf>
    <xf numFmtId="0" fontId="119" fillId="0" borderId="50" xfId="0" applyFont="1" applyBorder="1" applyAlignment="1">
      <alignment horizontal="left"/>
    </xf>
    <xf numFmtId="0" fontId="119" fillId="0" borderId="51" xfId="0" applyFont="1" applyBorder="1" applyAlignment="1">
      <alignment horizontal="left"/>
    </xf>
    <xf numFmtId="0" fontId="16" fillId="0" borderId="53" xfId="0" applyFont="1" applyBorder="1" applyAlignment="1" applyProtection="1">
      <alignment horizontal="left" vertical="center" shrinkToFit="1"/>
      <protection locked="0"/>
    </xf>
    <xf numFmtId="0" fontId="16" fillId="0" borderId="0" xfId="0" applyFont="1" applyAlignment="1" applyProtection="1">
      <alignment horizontal="left" vertical="center" shrinkToFit="1"/>
      <protection locked="0"/>
    </xf>
    <xf numFmtId="0" fontId="16" fillId="0" borderId="53" xfId="0" applyFont="1" applyBorder="1" applyAlignment="1" applyProtection="1">
      <alignment horizontal="left" vertical="top" shrinkToFit="1"/>
      <protection locked="0"/>
    </xf>
    <xf numFmtId="0" fontId="16" fillId="0" borderId="0" xfId="0" applyFont="1" applyAlignment="1" applyProtection="1">
      <alignment horizontal="left" vertical="top" shrinkToFit="1"/>
      <protection locked="0"/>
    </xf>
    <xf numFmtId="0" fontId="9" fillId="0" borderId="53" xfId="0" applyFont="1" applyBorder="1" applyAlignment="1">
      <alignment horizontal="left"/>
    </xf>
    <xf numFmtId="0" fontId="9" fillId="0" borderId="53" xfId="0" applyFont="1" applyBorder="1" applyAlignment="1">
      <alignment horizontal="justify" vertical="distributed" wrapText="1"/>
    </xf>
    <xf numFmtId="0" fontId="9" fillId="0" borderId="0" xfId="0" applyFont="1" applyAlignment="1">
      <alignment horizontal="justify" vertical="distributed" wrapText="1"/>
    </xf>
    <xf numFmtId="0" fontId="9" fillId="0" borderId="54" xfId="0" applyFont="1" applyBorder="1" applyAlignment="1">
      <alignment horizontal="justify" vertical="distributed" wrapText="1"/>
    </xf>
    <xf numFmtId="0" fontId="156" fillId="2" borderId="6" xfId="0" applyFont="1" applyFill="1" applyBorder="1" applyAlignment="1">
      <alignment horizontal="center" vertical="center"/>
    </xf>
    <xf numFmtId="0" fontId="156" fillId="2" borderId="7" xfId="0" applyFont="1" applyFill="1" applyBorder="1" applyAlignment="1">
      <alignment horizontal="center" vertical="center"/>
    </xf>
    <xf numFmtId="0" fontId="156" fillId="2" borderId="8" xfId="0" applyFont="1" applyFill="1" applyBorder="1" applyAlignment="1">
      <alignment horizontal="center" vertical="center"/>
    </xf>
    <xf numFmtId="0" fontId="117" fillId="2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28" fillId="2" borderId="6" xfId="0" applyFont="1" applyFill="1" applyBorder="1" applyAlignment="1">
      <alignment horizontal="center" vertical="top"/>
    </xf>
    <xf numFmtId="0" fontId="28" fillId="2" borderId="7" xfId="0" applyFont="1" applyFill="1" applyBorder="1" applyAlignment="1">
      <alignment horizontal="center" vertical="top"/>
    </xf>
    <xf numFmtId="0" fontId="28" fillId="2" borderId="8" xfId="0" applyFont="1" applyFill="1" applyBorder="1" applyAlignment="1">
      <alignment horizontal="center" vertical="top"/>
    </xf>
    <xf numFmtId="0" fontId="115" fillId="17" borderId="6" xfId="0" applyFont="1" applyFill="1" applyBorder="1" applyAlignment="1">
      <alignment horizontal="center" vertical="center"/>
    </xf>
    <xf numFmtId="0" fontId="115" fillId="17" borderId="8" xfId="0" applyFont="1" applyFill="1" applyBorder="1" applyAlignment="1">
      <alignment horizontal="center" vertical="center"/>
    </xf>
    <xf numFmtId="165" fontId="10" fillId="3" borderId="9" xfId="1" applyNumberFormat="1" applyFont="1" applyFill="1" applyBorder="1" applyAlignment="1" applyProtection="1">
      <alignment horizontal="center" vertical="center"/>
    </xf>
    <xf numFmtId="165" fontId="10" fillId="3" borderId="10" xfId="1" applyNumberFormat="1" applyFont="1" applyFill="1" applyBorder="1" applyAlignment="1" applyProtection="1">
      <alignment horizontal="center" vertical="center"/>
    </xf>
    <xf numFmtId="0" fontId="28" fillId="2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20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5" fillId="2" borderId="9" xfId="0" applyFont="1" applyFill="1" applyBorder="1" applyAlignment="1">
      <alignment horizontal="center"/>
    </xf>
    <xf numFmtId="0" fontId="43" fillId="2" borderId="6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65" fontId="11" fillId="2" borderId="6" xfId="0" applyNumberFormat="1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11" fillId="2" borderId="8" xfId="0" applyNumberFormat="1" applyFont="1" applyFill="1" applyBorder="1" applyAlignment="1">
      <alignment horizontal="center"/>
    </xf>
    <xf numFmtId="0" fontId="78" fillId="24" borderId="4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39" fillId="0" borderId="20" xfId="0" applyFont="1" applyBorder="1" applyAlignment="1">
      <alignment horizontal="center" vertical="center"/>
    </xf>
    <xf numFmtId="0" fontId="139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0" fontId="80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7" fillId="2" borderId="2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167" fillId="11" borderId="4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70" fillId="34" borderId="4" xfId="2" applyFont="1" applyFill="1" applyBorder="1" applyAlignment="1" applyProtection="1">
      <alignment horizontal="center" vertical="center" wrapText="1"/>
    </xf>
    <xf numFmtId="0" fontId="25" fillId="5" borderId="8" xfId="0" applyFont="1" applyFill="1" applyBorder="1" applyAlignment="1">
      <alignment horizontal="left" vertical="center"/>
    </xf>
    <xf numFmtId="0" fontId="45" fillId="5" borderId="6" xfId="0" applyFont="1" applyFill="1" applyBorder="1" applyAlignment="1">
      <alignment horizontal="left" vertical="center"/>
    </xf>
    <xf numFmtId="0" fontId="271" fillId="0" borderId="0" xfId="2" applyFont="1" applyAlignment="1" applyProtection="1">
      <alignment horizontal="left" vertical="center" wrapText="1"/>
    </xf>
    <xf numFmtId="0" fontId="272" fillId="0" borderId="0" xfId="0" applyFont="1" applyAlignment="1">
      <alignment horizontal="left" vertical="center" wrapText="1"/>
    </xf>
    <xf numFmtId="0" fontId="20" fillId="0" borderId="29" xfId="0" applyFont="1" applyBorder="1" applyAlignment="1" applyProtection="1">
      <alignment horizontal="left" vertical="top" wrapText="1"/>
      <protection hidden="1"/>
    </xf>
  </cellXfs>
  <cellStyles count="3">
    <cellStyle name="Comma" xfId="1" builtinId="3"/>
    <cellStyle name="Hyperlink" xfId="2" builtinId="8"/>
    <cellStyle name="Normal" xfId="0" builtinId="0"/>
  </cellStyles>
  <dxfs count="42"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 tint="-0.14996795556505021"/>
      </font>
      <fill>
        <patternFill patternType="gray0625"/>
      </fill>
    </dxf>
    <dxf>
      <font>
        <color theme="0"/>
      </font>
      <fill>
        <patternFill patternType="gray0625"/>
      </fill>
      <border>
        <left/>
        <right/>
        <top/>
        <bottom/>
        <vertical/>
        <horizontal/>
      </border>
    </dxf>
    <dxf>
      <font>
        <color theme="0" tint="-0.24994659260841701"/>
      </font>
      <fill>
        <patternFill patternType="lightGray">
          <bgColor theme="4" tint="0.79998168889431442"/>
        </patternFill>
      </fill>
    </dxf>
    <dxf>
      <font>
        <color theme="4" tint="0.79998168889431442"/>
      </font>
      <fill>
        <patternFill patternType="lightGray">
          <fgColor theme="3"/>
        </patternFill>
      </fill>
    </dxf>
    <dxf>
      <fill>
        <patternFill>
          <bgColor rgb="FF33A8FF"/>
        </patternFill>
      </fill>
    </dxf>
    <dxf>
      <fill>
        <patternFill>
          <bgColor rgb="FF954ECA"/>
        </patternFill>
      </fill>
    </dxf>
    <dxf>
      <fill>
        <patternFill>
          <bgColor rgb="FF9A57CD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 tint="-0.14996795556505021"/>
      </font>
      <fill>
        <patternFill patternType="lightGray">
          <bgColor theme="4" tint="0.79998168889431442"/>
        </patternFill>
      </fill>
    </dxf>
    <dxf>
      <font>
        <color theme="0" tint="-0.24994659260841701"/>
      </font>
      <fill>
        <patternFill patternType="lightGray">
          <bgColor theme="4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 patternType="lightGray">
          <bgColor theme="4" tint="0.79998168889431442"/>
        </patternFill>
      </fill>
    </dxf>
    <dxf>
      <font>
        <color theme="0" tint="-0.24994659260841701"/>
      </font>
      <fill>
        <patternFill patternType="lightGray">
          <bgColor theme="4" tint="0.79998168889431442"/>
        </patternFill>
      </fill>
    </dxf>
    <dxf>
      <font>
        <color theme="0" tint="-0.24994659260841701"/>
      </font>
      <fill>
        <patternFill patternType="lightGray">
          <bgColor theme="4" tint="0.79998168889431442"/>
        </patternFill>
      </fill>
    </dxf>
    <dxf>
      <font>
        <color theme="0" tint="-0.34998626667073579"/>
      </font>
      <fill>
        <patternFill patternType="lightGray">
          <fgColor auto="1"/>
          <bgColor theme="4" tint="0.79998168889431442"/>
        </patternFill>
      </fill>
    </dxf>
    <dxf>
      <font>
        <color theme="0" tint="-0.24994659260841701"/>
      </font>
      <fill>
        <patternFill patternType="lightGray">
          <fgColor theme="4"/>
          <bgColor theme="4" tint="0.79998168889431442"/>
        </patternFill>
      </fill>
    </dxf>
    <dxf>
      <font>
        <color theme="0"/>
      </font>
      <fill>
        <patternFill patternType="gray0625"/>
      </fill>
    </dxf>
    <dxf>
      <font>
        <color theme="0" tint="-0.14996795556505021"/>
      </font>
      <fill>
        <patternFill patternType="lightGray">
          <fgColor theme="4"/>
          <bgColor theme="4" tint="0.79998168889431442"/>
        </patternFill>
      </fill>
    </dxf>
    <dxf>
      <font>
        <color theme="4" tint="0.79998168889431442"/>
      </font>
      <fill>
        <patternFill patternType="lightGray">
          <fgColor theme="3"/>
        </patternFill>
      </fill>
    </dxf>
    <dxf>
      <font>
        <color theme="0"/>
      </font>
      <fill>
        <patternFill patternType="gray0625"/>
      </fill>
    </dxf>
    <dxf>
      <font>
        <color theme="0" tint="-4.9989318521683403E-2"/>
      </font>
      <fill>
        <patternFill patternType="lightGray">
          <fgColor theme="3"/>
        </patternFill>
      </fill>
    </dxf>
  </dxfs>
  <tableStyles count="0" defaultTableStyle="TableStyleMedium9" defaultPivotStyle="PivotStyleLight16"/>
  <colors>
    <mruColors>
      <color rgb="FF9A57CD"/>
      <color rgb="FFFFD85B"/>
      <color rgb="FF99CCFF"/>
      <color rgb="FF33A8FF"/>
      <color rgb="FFFF4B4B"/>
      <color rgb="FF954ECA"/>
      <color rgb="FFFFFF00"/>
      <color rgb="FFC761B1"/>
      <color rgb="FFFFFFCC"/>
      <color rgb="FFF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26" Type="http://schemas.microsoft.com/office/2017/10/relationships/person" Target="persons/pers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7" Type="http://schemas.microsoft.com/office/2017/10/relationships/person" Target="persons/person1.xml"/></Relationships>
</file>

<file path=xl/ctrlProps/ctrlProp1.xml><?xml version="1.0" encoding="utf-8"?>
<formControlPr xmlns="http://schemas.microsoft.com/office/spreadsheetml/2009/9/main" objectType="CheckBox" checked="Checked" fmlaLink="'MisC Cal-1'!$E$161" lockText="1" noThreeD="1"/>
</file>

<file path=xl/ctrlProps/ctrlProp2.xml><?xml version="1.0" encoding="utf-8"?>
<formControlPr xmlns="http://schemas.microsoft.com/office/spreadsheetml/2009/9/main" objectType="CheckBox" checked="Checked" fmlaLink="'MisC Cal-1'!$E$162" lockText="1" noThreeD="1"/>
</file>

<file path=xl/ctrlProps/ctrlProp3.xml><?xml version="1.0" encoding="utf-8"?>
<formControlPr xmlns="http://schemas.microsoft.com/office/spreadsheetml/2009/9/main" objectType="CheckBox" checked="Checked" fmlaLink="'MisC Cal-1'!$E$163" lockText="1" noThreeD="1"/>
</file>

<file path=xl/ctrlProps/ctrlProp4.xml><?xml version="1.0" encoding="utf-8"?>
<formControlPr xmlns="http://schemas.microsoft.com/office/spreadsheetml/2009/9/main" objectType="CheckBox" checked="Checked" fmlaLink="'MisC Cal-1'!$E$164" lockText="1" noThreeD="1"/>
</file>

<file path=xl/ctrlProps/ctrlProp5.xml><?xml version="1.0" encoding="utf-8"?>
<formControlPr xmlns="http://schemas.microsoft.com/office/spreadsheetml/2009/9/main" objectType="CheckBox" checked="Checked" fmlaLink="'MisC Cal-1'!$E$165" lockText="1" noThreeD="1"/>
</file>

<file path=xl/ctrlProps/ctrlProp6.xml><?xml version="1.0" encoding="utf-8"?>
<formControlPr xmlns="http://schemas.microsoft.com/office/spreadsheetml/2009/9/main" objectType="CheckBox" fmlaLink="'MisC Cal-1'!$H$162" lockText="1" noThreeD="1"/>
</file>

<file path=xl/ctrlProps/ctrlProp7.xml><?xml version="1.0" encoding="utf-8"?>
<formControlPr xmlns="http://schemas.microsoft.com/office/spreadsheetml/2009/9/main" objectType="CheckBox" fmlaLink="'MisC Cal-1'!$H$161" lockText="1" noThreeD="1"/>
</file>

<file path=xl/ctrlProps/ctrlProp8.xml><?xml version="1.0" encoding="utf-8"?>
<formControlPr xmlns="http://schemas.microsoft.com/office/spreadsheetml/2009/9/main" objectType="CheckBox" checked="Checked" fmlaLink="'MisC Cal-1'!$H$164" lockText="1" noThreeD="1"/>
</file>

<file path=xl/ctrlProps/ctrlProp9.xml><?xml version="1.0" encoding="utf-8"?>
<formControlPr xmlns="http://schemas.microsoft.com/office/spreadsheetml/2009/9/main" objectType="CheckBox" fmlaLink="'MisC Cal-1'!$H$163" lockText="1" noThreeD="1"/>
</file>

<file path=xl/ctrlProps/ctrlProp10.xml><?xml version="1.0" encoding="utf-8"?>
<formControlPr xmlns="http://schemas.microsoft.com/office/spreadsheetml/2009/9/main" objectType="CheckBox" fmlaLink="'MisC Cal-1'!$H$165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42</xdr:row>
          <xdr:rowOff>0</xdr:rowOff>
        </xdr:from>
        <xdr:to>
          <xdr:col>7</xdr:col>
          <xdr:colOff>304800</xdr:colOff>
          <xdr:row>43</xdr:row>
          <xdr:rowOff>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43</xdr:row>
          <xdr:rowOff>9525</xdr:rowOff>
        </xdr:from>
        <xdr:to>
          <xdr:col>7</xdr:col>
          <xdr:colOff>295275</xdr:colOff>
          <xdr:row>44</xdr:row>
          <xdr:rowOff>9525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43</xdr:row>
          <xdr:rowOff>209550</xdr:rowOff>
        </xdr:from>
        <xdr:to>
          <xdr:col>7</xdr:col>
          <xdr:colOff>304800</xdr:colOff>
          <xdr:row>45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44</xdr:row>
          <xdr:rowOff>209550</xdr:rowOff>
        </xdr:from>
        <xdr:to>
          <xdr:col>7</xdr:col>
          <xdr:colOff>371475</xdr:colOff>
          <xdr:row>46</xdr:row>
          <xdr:rowOff>19050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45</xdr:row>
          <xdr:rowOff>219075</xdr:rowOff>
        </xdr:from>
        <xdr:to>
          <xdr:col>7</xdr:col>
          <xdr:colOff>314325</xdr:colOff>
          <xdr:row>47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43</xdr:row>
          <xdr:rowOff>0</xdr:rowOff>
        </xdr:from>
        <xdr:to>
          <xdr:col>9</xdr:col>
          <xdr:colOff>285750</xdr:colOff>
          <xdr:row>44</xdr:row>
          <xdr:rowOff>9525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41</xdr:row>
          <xdr:rowOff>228600</xdr:rowOff>
        </xdr:from>
        <xdr:to>
          <xdr:col>9</xdr:col>
          <xdr:colOff>285750</xdr:colOff>
          <xdr:row>43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45</xdr:row>
          <xdr:rowOff>219075</xdr:rowOff>
        </xdr:from>
        <xdr:to>
          <xdr:col>9</xdr:col>
          <xdr:colOff>304800</xdr:colOff>
          <xdr:row>47</xdr:row>
          <xdr:rowOff>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43</xdr:row>
          <xdr:rowOff>209550</xdr:rowOff>
        </xdr:from>
        <xdr:to>
          <xdr:col>9</xdr:col>
          <xdr:colOff>295275</xdr:colOff>
          <xdr:row>45</xdr:row>
          <xdr:rowOff>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44</xdr:row>
          <xdr:rowOff>209550</xdr:rowOff>
        </xdr:from>
        <xdr:to>
          <xdr:col>9</xdr:col>
          <xdr:colOff>323850</xdr:colOff>
          <xdr:row>46</xdr:row>
          <xdr:rowOff>9525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627420</xdr:colOff>
      <xdr:row>55</xdr:row>
      <xdr:rowOff>98629</xdr:rowOff>
    </xdr:from>
    <xdr:to>
      <xdr:col>7</xdr:col>
      <xdr:colOff>1552575</xdr:colOff>
      <xdr:row>60</xdr:row>
      <xdr:rowOff>137959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33058" y="12790692"/>
          <a:ext cx="925155" cy="925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85723</xdr:colOff>
      <xdr:row>49</xdr:row>
      <xdr:rowOff>80233</xdr:rowOff>
    </xdr:from>
    <xdr:to>
      <xdr:col>0</xdr:col>
      <xdr:colOff>790574</xdr:colOff>
      <xdr:row>52</xdr:row>
      <xdr:rowOff>194534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 rot="10800000" flipV="1">
          <a:off x="85723" y="8576533"/>
          <a:ext cx="704851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27</xdr:row>
          <xdr:rowOff>0</xdr:rowOff>
        </xdr:from>
        <xdr:to>
          <xdr:col>9</xdr:col>
          <xdr:colOff>247650</xdr:colOff>
          <xdr:row>28</xdr:row>
          <xdr:rowOff>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28</xdr:row>
          <xdr:rowOff>0</xdr:rowOff>
        </xdr:from>
        <xdr:to>
          <xdr:col>9</xdr:col>
          <xdr:colOff>247650</xdr:colOff>
          <xdr:row>29</xdr:row>
          <xdr:rowOff>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29</xdr:row>
          <xdr:rowOff>0</xdr:rowOff>
        </xdr:from>
        <xdr:to>
          <xdr:col>9</xdr:col>
          <xdr:colOff>247650</xdr:colOff>
          <xdr:row>30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30</xdr:row>
          <xdr:rowOff>0</xdr:rowOff>
        </xdr:from>
        <xdr:to>
          <xdr:col>9</xdr:col>
          <xdr:colOff>247650</xdr:colOff>
          <xdr:row>31</xdr:row>
          <xdr:rowOff>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5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31</xdr:row>
          <xdr:rowOff>0</xdr:rowOff>
        </xdr:from>
        <xdr:to>
          <xdr:col>9</xdr:col>
          <xdr:colOff>247650</xdr:colOff>
          <xdr:row>32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5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32</xdr:row>
          <xdr:rowOff>0</xdr:rowOff>
        </xdr:from>
        <xdr:to>
          <xdr:col>9</xdr:col>
          <xdr:colOff>247650</xdr:colOff>
          <xdr:row>33</xdr:row>
          <xdr:rowOff>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5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26</xdr:row>
          <xdr:rowOff>0</xdr:rowOff>
        </xdr:from>
        <xdr:to>
          <xdr:col>9</xdr:col>
          <xdr:colOff>247650</xdr:colOff>
          <xdr:row>27</xdr:row>
          <xdr:rowOff>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5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hyperlink" Target="https://tinyurl.com/easypeasytax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tinyurl.com/easypeasytax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D898-343D-4C72-B8E5-0105782D14FA}">
  <sheetPr codeName="Sheet1">
    <tabColor rgb="FFFFFF00"/>
  </sheetPr>
  <dimension ref="B2:L62"/>
  <sheetViews>
    <sheetView showGridLines="0" showRowColHeaders="0" tabSelected="1" zoomScaleNormal="100" workbookViewId="0">
      <selection activeCell="E47" sqref="E47"/>
    </sheetView>
  </sheetViews>
  <sheetFormatPr defaultColWidth="9.140625" defaultRowHeight="12.75"/>
  <cols>
    <col min="1" max="1" width="5.5703125" style="23" customWidth="1"/>
    <col min="2" max="2" width="2.7109375" style="23" customWidth="1"/>
    <col min="3" max="3" width="16.28515625" style="23" bestFit="1" customWidth="1"/>
    <col min="4" max="4" width="29" style="23" customWidth="1"/>
    <col min="5" max="5" width="20.7109375" style="23" customWidth="1"/>
    <col min="6" max="6" width="19" style="23" bestFit="1" customWidth="1"/>
    <col min="7" max="7" width="4.7109375" style="23" customWidth="1"/>
    <col min="8" max="8" width="23.7109375" style="23" customWidth="1"/>
    <col min="9" max="9" width="20.140625" style="23" customWidth="1"/>
    <col min="10" max="10" width="20.28515625" style="23" customWidth="1"/>
    <col min="11" max="11" width="20.85546875" style="23" customWidth="1"/>
    <col min="12" max="12" width="3.140625" style="23" customWidth="1"/>
    <col min="13" max="13" width="17" style="23" customWidth="1"/>
    <col min="14" max="16384" width="9.140625" style="23"/>
  </cols>
  <sheetData>
    <row r="2" spans="2:12">
      <c r="B2" s="1106"/>
      <c r="C2" s="1107"/>
      <c r="D2" s="1107"/>
      <c r="E2" s="1107"/>
      <c r="F2" s="1107"/>
      <c r="G2" s="1107"/>
      <c r="H2" s="1107"/>
      <c r="I2" s="1107"/>
      <c r="J2" s="1107"/>
      <c r="K2" s="1107"/>
      <c r="L2" s="1108"/>
    </row>
    <row r="3" spans="2:12" ht="25.5">
      <c r="B3" s="1113"/>
      <c r="C3" s="1096" t="s">
        <v>715</v>
      </c>
      <c r="D3" s="1097"/>
      <c r="E3" s="1097"/>
      <c r="F3" s="1098"/>
      <c r="G3" s="1095"/>
      <c r="H3" s="1096" t="s">
        <v>708</v>
      </c>
      <c r="I3" s="1097"/>
      <c r="J3" s="1097"/>
      <c r="K3" s="1098"/>
      <c r="L3" s="1109"/>
    </row>
    <row r="4" spans="2:12" ht="21.75" customHeight="1">
      <c r="B4" s="1113"/>
      <c r="C4" s="368" t="s">
        <v>84</v>
      </c>
      <c r="D4" s="191" t="s">
        <v>83</v>
      </c>
      <c r="E4" s="368" t="s">
        <v>85</v>
      </c>
      <c r="F4" s="259">
        <v>387493583464</v>
      </c>
      <c r="G4" s="1095"/>
      <c r="H4" s="368" t="s">
        <v>636</v>
      </c>
      <c r="I4" s="260"/>
      <c r="J4" s="368" t="s">
        <v>98</v>
      </c>
      <c r="K4" s="190">
        <v>16</v>
      </c>
      <c r="L4" s="1109"/>
    </row>
    <row r="5" spans="2:12" ht="21.75" customHeight="1">
      <c r="B5" s="1113"/>
      <c r="C5" s="368" t="s">
        <v>88</v>
      </c>
      <c r="D5" s="192">
        <f>DATE(2025,11,1)</f>
        <v>45962</v>
      </c>
      <c r="E5" s="368" t="s">
        <v>89</v>
      </c>
      <c r="F5" s="192">
        <f>DATE(2026,12,30)</f>
        <v>46386</v>
      </c>
      <c r="G5" s="1095"/>
      <c r="H5" s="368" t="s">
        <v>637</v>
      </c>
      <c r="I5" s="198" t="s">
        <v>258</v>
      </c>
      <c r="J5" s="368" t="s">
        <v>623</v>
      </c>
      <c r="K5" s="198" t="s">
        <v>210</v>
      </c>
      <c r="L5" s="1109"/>
    </row>
    <row r="6" spans="2:12" ht="17.25">
      <c r="B6" s="1113"/>
      <c r="C6" s="369" t="s">
        <v>86</v>
      </c>
      <c r="D6" s="274" t="s">
        <v>793</v>
      </c>
      <c r="E6" s="370"/>
      <c r="F6" s="371"/>
      <c r="G6" s="1095"/>
      <c r="H6" s="368" t="s">
        <v>110</v>
      </c>
      <c r="I6" s="199">
        <v>4000</v>
      </c>
      <c r="J6" s="368" t="s">
        <v>635</v>
      </c>
      <c r="K6" s="261" t="s">
        <v>818</v>
      </c>
      <c r="L6" s="1109"/>
    </row>
    <row r="7" spans="2:12" ht="36" customHeight="1">
      <c r="B7" s="1113"/>
      <c r="C7" s="369" t="s">
        <v>87</v>
      </c>
      <c r="D7" s="1114" t="s">
        <v>617</v>
      </c>
      <c r="E7" s="1115"/>
      <c r="F7" s="1116"/>
      <c r="G7" s="1095"/>
      <c r="H7" s="368" t="s">
        <v>710</v>
      </c>
      <c r="I7" s="439" t="s">
        <v>101</v>
      </c>
      <c r="J7" s="368" t="s">
        <v>638</v>
      </c>
      <c r="K7" s="1295" t="s">
        <v>812</v>
      </c>
      <c r="L7" s="1109"/>
    </row>
    <row r="8" spans="2:12" ht="18.75" customHeight="1">
      <c r="B8" s="1113"/>
      <c r="C8" s="368" t="s">
        <v>37</v>
      </c>
      <c r="D8" s="195" t="s">
        <v>68</v>
      </c>
      <c r="E8" s="372" t="s">
        <v>576</v>
      </c>
      <c r="F8" s="996" t="s">
        <v>523</v>
      </c>
      <c r="G8" s="1095"/>
      <c r="H8" s="368" t="s">
        <v>622</v>
      </c>
      <c r="I8" s="440" t="s">
        <v>363</v>
      </c>
      <c r="J8" s="368" t="s">
        <v>361</v>
      </c>
      <c r="K8" s="373" t="str">
        <f>'MisC Cal-1'!AF2</f>
        <v>1-1141-0055-0১১১</v>
      </c>
      <c r="L8" s="1109"/>
    </row>
    <row r="9" spans="2:12" ht="18" customHeight="1">
      <c r="B9" s="1113"/>
      <c r="C9" s="368" t="s">
        <v>721</v>
      </c>
      <c r="D9" s="195" t="s">
        <v>608</v>
      </c>
      <c r="E9" s="374" t="s">
        <v>791</v>
      </c>
      <c r="F9" s="438">
        <v>70000000</v>
      </c>
      <c r="G9" s="1095"/>
      <c r="H9" s="375"/>
      <c r="I9" s="375"/>
      <c r="J9" s="375"/>
      <c r="K9" s="375"/>
      <c r="L9" s="1109"/>
    </row>
    <row r="10" spans="2:12" ht="20.25">
      <c r="B10" s="1113"/>
      <c r="C10" s="368" t="s">
        <v>774</v>
      </c>
      <c r="D10" s="193" t="s">
        <v>546</v>
      </c>
      <c r="E10" s="368" t="str">
        <f>'MisC Cal-2'!C13</f>
        <v>cwi‡ek mviPvR©</v>
      </c>
      <c r="F10" s="189">
        <v>0</v>
      </c>
      <c r="G10" s="1095"/>
      <c r="H10" s="1103" t="s">
        <v>711</v>
      </c>
      <c r="I10" s="1104"/>
      <c r="J10" s="1104"/>
      <c r="K10" s="1105"/>
      <c r="L10" s="1109"/>
    </row>
    <row r="11" spans="2:12" ht="33">
      <c r="B11" s="1113"/>
      <c r="C11" s="376" t="str">
        <f>'MisC Cal-2'!C5</f>
        <v>8000 et dzt evwo/GKvwaK Mvwo</v>
      </c>
      <c r="D11" s="194" t="s">
        <v>303</v>
      </c>
      <c r="E11" s="376" t="s">
        <v>813</v>
      </c>
      <c r="F11" s="252" t="s">
        <v>809</v>
      </c>
      <c r="G11" s="1095"/>
      <c r="H11" s="377" t="s">
        <v>187</v>
      </c>
      <c r="I11" s="440" t="s">
        <v>210</v>
      </c>
      <c r="J11" s="378" t="s">
        <v>186</v>
      </c>
      <c r="K11" s="441">
        <v>3</v>
      </c>
      <c r="L11" s="1109"/>
    </row>
    <row r="12" spans="2:12">
      <c r="B12" s="1113"/>
      <c r="C12" s="379"/>
      <c r="D12" s="379"/>
      <c r="E12" s="379"/>
      <c r="F12" s="379"/>
      <c r="G12" s="1095"/>
      <c r="H12" s="375"/>
      <c r="I12" s="375"/>
      <c r="J12" s="375"/>
      <c r="K12" s="375"/>
      <c r="L12" s="1109"/>
    </row>
    <row r="13" spans="2:12" ht="25.5" customHeight="1">
      <c r="B13" s="1113"/>
      <c r="C13" s="1096" t="s">
        <v>712</v>
      </c>
      <c r="D13" s="1097"/>
      <c r="E13" s="1097"/>
      <c r="F13" s="1098"/>
      <c r="G13" s="1095"/>
      <c r="H13" s="375"/>
      <c r="I13" s="375"/>
      <c r="J13" s="375"/>
      <c r="K13" s="375"/>
      <c r="L13" s="1109"/>
    </row>
    <row r="14" spans="2:12" ht="22.5" customHeight="1">
      <c r="B14" s="1113"/>
      <c r="C14" s="380"/>
      <c r="D14" s="381" t="s">
        <v>814</v>
      </c>
      <c r="E14" s="382" t="s">
        <v>778</v>
      </c>
      <c r="F14" s="383" t="s">
        <v>133</v>
      </c>
      <c r="G14" s="1095"/>
      <c r="H14" s="1126" t="s">
        <v>640</v>
      </c>
      <c r="I14" s="1127"/>
      <c r="J14" s="1127"/>
      <c r="K14" s="1128"/>
      <c r="L14" s="1109"/>
    </row>
    <row r="15" spans="2:12" ht="16.899999999999999" customHeight="1">
      <c r="B15" s="1113"/>
      <c r="C15" s="384"/>
      <c r="D15" s="196" t="s">
        <v>516</v>
      </c>
      <c r="E15" s="262">
        <v>1600000</v>
      </c>
      <c r="F15" s="263"/>
      <c r="G15" s="1095"/>
      <c r="H15" s="1129"/>
      <c r="I15" s="1130"/>
      <c r="J15" s="1130"/>
      <c r="K15" s="1131"/>
      <c r="L15" s="1109"/>
    </row>
    <row r="16" spans="2:12" ht="17.25" customHeight="1">
      <c r="B16" s="1113"/>
      <c r="C16" s="384"/>
      <c r="D16" s="196" t="s">
        <v>120</v>
      </c>
      <c r="E16" s="262"/>
      <c r="F16" s="263"/>
      <c r="G16" s="1095"/>
      <c r="H16" s="1129"/>
      <c r="I16" s="1130"/>
      <c r="J16" s="1130"/>
      <c r="K16" s="1131"/>
      <c r="L16" s="1109"/>
    </row>
    <row r="17" spans="2:12" ht="17.25" customHeight="1">
      <c r="B17" s="1113"/>
      <c r="C17" s="384"/>
      <c r="D17" s="196" t="s">
        <v>509</v>
      </c>
      <c r="E17" s="262"/>
      <c r="F17" s="263"/>
      <c r="G17" s="1095"/>
      <c r="H17" s="1129"/>
      <c r="I17" s="1130"/>
      <c r="J17" s="1130"/>
      <c r="K17" s="1131"/>
      <c r="L17" s="1109"/>
    </row>
    <row r="18" spans="2:12" ht="17.25" customHeight="1">
      <c r="B18" s="1113"/>
      <c r="C18" s="384"/>
      <c r="D18" s="196" t="s">
        <v>583</v>
      </c>
      <c r="E18" s="262"/>
      <c r="F18" s="263"/>
      <c r="G18" s="1095"/>
      <c r="H18" s="1129"/>
      <c r="I18" s="1130"/>
      <c r="J18" s="1130"/>
      <c r="K18" s="1131"/>
      <c r="L18" s="1109"/>
    </row>
    <row r="19" spans="2:12" ht="17.25" customHeight="1">
      <c r="B19" s="1113"/>
      <c r="C19" s="384"/>
      <c r="D19" s="196" t="s">
        <v>508</v>
      </c>
      <c r="E19" s="262"/>
      <c r="F19" s="263"/>
      <c r="G19" s="1095"/>
      <c r="H19" s="1129"/>
      <c r="I19" s="1130"/>
      <c r="J19" s="1130"/>
      <c r="K19" s="1131"/>
      <c r="L19" s="1109"/>
    </row>
    <row r="20" spans="2:12" ht="17.25" customHeight="1">
      <c r="B20" s="1113"/>
      <c r="C20" s="384"/>
      <c r="D20" s="196" t="s">
        <v>261</v>
      </c>
      <c r="E20" s="262"/>
      <c r="F20" s="263"/>
      <c r="G20" s="1095"/>
      <c r="H20" s="1129"/>
      <c r="I20" s="1130"/>
      <c r="J20" s="1130"/>
      <c r="K20" s="1131"/>
      <c r="L20" s="1109"/>
    </row>
    <row r="21" spans="2:12" ht="17.25" customHeight="1">
      <c r="B21" s="1113"/>
      <c r="C21" s="386"/>
      <c r="D21" s="197" t="s">
        <v>782</v>
      </c>
      <c r="E21" s="262">
        <v>0</v>
      </c>
      <c r="F21" s="387">
        <f>E21</f>
        <v>0</v>
      </c>
      <c r="G21" s="1095"/>
      <c r="H21" s="388"/>
      <c r="I21" s="389"/>
      <c r="J21" s="389"/>
      <c r="K21" s="390" t="s">
        <v>720</v>
      </c>
      <c r="L21" s="1109"/>
    </row>
    <row r="22" spans="2:12" ht="18" customHeight="1">
      <c r="B22" s="1113"/>
      <c r="C22" s="380"/>
      <c r="D22" s="381" t="s">
        <v>130</v>
      </c>
      <c r="E22" s="391">
        <f>'MisC Cal-1'!I94</f>
        <v>1600000</v>
      </c>
      <c r="F22" s="392">
        <f>'MisC Cal-1'!J94</f>
        <v>500000</v>
      </c>
      <c r="G22" s="1095"/>
      <c r="H22" s="375"/>
      <c r="I22" s="375"/>
      <c r="J22" s="375"/>
      <c r="K22" s="375"/>
      <c r="L22" s="1109"/>
    </row>
    <row r="23" spans="2:12">
      <c r="B23" s="1113"/>
      <c r="C23" s="375"/>
      <c r="D23" s="375"/>
      <c r="E23" s="375"/>
      <c r="F23" s="375"/>
      <c r="G23" s="1095"/>
      <c r="H23" s="375"/>
      <c r="I23" s="375"/>
      <c r="J23" s="375"/>
      <c r="K23" s="375"/>
      <c r="L23" s="1109"/>
    </row>
    <row r="24" spans="2:12" ht="25.5">
      <c r="B24" s="1113"/>
      <c r="C24" s="1096" t="s">
        <v>634</v>
      </c>
      <c r="D24" s="1097"/>
      <c r="E24" s="1097"/>
      <c r="F24" s="1098"/>
      <c r="G24" s="1095"/>
      <c r="H24" s="1117" t="s">
        <v>628</v>
      </c>
      <c r="I24" s="1118"/>
      <c r="J24" s="1118"/>
      <c r="K24" s="1119"/>
      <c r="L24" s="1109"/>
    </row>
    <row r="25" spans="2:12" ht="17.25">
      <c r="B25" s="1113"/>
      <c r="C25" s="380"/>
      <c r="D25" s="393" t="s">
        <v>32</v>
      </c>
      <c r="E25" s="382" t="s">
        <v>780</v>
      </c>
      <c r="F25" s="383" t="s">
        <v>33</v>
      </c>
      <c r="G25" s="1095"/>
      <c r="H25" s="394" t="str">
        <f>'MisC Intrst-3'!N31</f>
        <v>Tax Day</v>
      </c>
      <c r="I25" s="395" t="str">
        <f>'MisC Intrst-3'!O31</f>
        <v>৩০ নভেম্বর</v>
      </c>
      <c r="J25" s="396" t="s">
        <v>119</v>
      </c>
      <c r="K25" s="397">
        <f>'MisC Intrst-3'!L24</f>
        <v>0</v>
      </c>
      <c r="L25" s="1109"/>
    </row>
    <row r="26" spans="2:12" ht="16.5">
      <c r="B26" s="1113"/>
      <c r="C26" s="398"/>
      <c r="D26" s="399" t="s">
        <v>816</v>
      </c>
      <c r="E26" s="400">
        <f>'MisC Cal-1'!K94</f>
        <v>1100000</v>
      </c>
      <c r="F26" s="263">
        <v>9000</v>
      </c>
      <c r="G26" s="1095"/>
      <c r="H26" s="401" t="s">
        <v>570</v>
      </c>
      <c r="I26" s="402">
        <f>'MisC Intrst-3'!L9</f>
        <v>10</v>
      </c>
      <c r="J26" s="403" t="str">
        <f>'MisC Cal-1'!AK4</f>
        <v>Trunover Tax</v>
      </c>
      <c r="K26" s="404" t="str">
        <f>_xlfn.XLOOKUP(J26,'MisC Cal-1'!AM3:AM4,'MisC Cal-1'!AL3:AL4,0,1)</f>
        <v>Individual</v>
      </c>
      <c r="L26" s="1109"/>
    </row>
    <row r="27" spans="2:12" ht="16.5">
      <c r="B27" s="1113"/>
      <c r="C27" s="405"/>
      <c r="D27" s="196" t="s">
        <v>815</v>
      </c>
      <c r="E27" s="262">
        <v>0</v>
      </c>
      <c r="F27" s="263">
        <v>0</v>
      </c>
      <c r="G27" s="1095"/>
      <c r="H27" s="375"/>
      <c r="I27" s="375"/>
      <c r="J27" s="375"/>
      <c r="K27" s="375"/>
      <c r="L27" s="1109"/>
    </row>
    <row r="28" spans="2:12" ht="16.5">
      <c r="B28" s="1113"/>
      <c r="C28" s="405"/>
      <c r="D28" s="196" t="s">
        <v>800</v>
      </c>
      <c r="E28" s="262">
        <v>3862355</v>
      </c>
      <c r="F28" s="263">
        <v>75000</v>
      </c>
      <c r="G28" s="1095"/>
      <c r="H28" s="375"/>
      <c r="I28" s="375"/>
      <c r="J28" s="375"/>
      <c r="K28" s="375"/>
      <c r="L28" s="1109"/>
    </row>
    <row r="29" spans="2:12" ht="16.5">
      <c r="B29" s="1113"/>
      <c r="C29" s="405"/>
      <c r="D29" s="196" t="s">
        <v>783</v>
      </c>
      <c r="E29" s="262"/>
      <c r="F29" s="263"/>
      <c r="G29" s="1095"/>
      <c r="H29" s="1120" t="s">
        <v>713</v>
      </c>
      <c r="I29" s="1121"/>
      <c r="J29" s="1121"/>
      <c r="K29" s="1122"/>
      <c r="L29" s="1109"/>
    </row>
    <row r="30" spans="2:12" ht="16.5">
      <c r="B30" s="1113"/>
      <c r="C30" s="405"/>
      <c r="D30" s="196" t="s">
        <v>124</v>
      </c>
      <c r="E30" s="262">
        <v>0</v>
      </c>
      <c r="F30" s="263"/>
      <c r="G30" s="1095"/>
      <c r="H30" s="1123"/>
      <c r="I30" s="1124"/>
      <c r="J30" s="1124"/>
      <c r="K30" s="1125"/>
      <c r="L30" s="1109"/>
    </row>
    <row r="31" spans="2:12" ht="18" thickBot="1">
      <c r="B31" s="1113"/>
      <c r="C31" s="405"/>
      <c r="D31" s="385" t="str">
        <f>'MisC Cal-1'!B133</f>
        <v>ব্যক্তিসংঘ/ফার্মের করারোপিত শেয়ার আয়</v>
      </c>
      <c r="E31" s="262">
        <v>500000</v>
      </c>
      <c r="F31" s="406">
        <v>0</v>
      </c>
      <c r="G31" s="1095"/>
      <c r="H31" s="407"/>
      <c r="I31" s="408"/>
      <c r="J31" s="409" t="str">
        <f>F50&amp;" avivbymv‡i bxU AvqKi "</f>
        <v xml:space="preserve">82wewe/82wm (AvqKi Aa¨v‡`k, 1984)/183(7)  avivbymv‡i bxU AvqKi </v>
      </c>
      <c r="K31" s="410">
        <f>'Sheet of Calculation'!C51</f>
        <v>724431.8405919699</v>
      </c>
      <c r="L31" s="1109"/>
    </row>
    <row r="32" spans="2:12" ht="17.25" thickTop="1">
      <c r="B32" s="1113"/>
      <c r="C32" s="411"/>
      <c r="D32" s="412" t="str">
        <f>'MisC Cal-1'!B134</f>
        <v>৫৬/৭৬(৬) ধারায় নিয়মিত করদায়ভুক্ত আয়</v>
      </c>
      <c r="E32" s="262">
        <v>0</v>
      </c>
      <c r="F32" s="264"/>
      <c r="G32" s="1095"/>
      <c r="H32" s="413" t="s">
        <v>556</v>
      </c>
      <c r="I32" s="414">
        <f>'MisC Intrst-3'!D18</f>
        <v>53835.201776246482</v>
      </c>
      <c r="J32" s="415" t="s">
        <v>621</v>
      </c>
      <c r="K32" s="414">
        <f>'MisC Cal-2'!D68</f>
        <v>110182.00940803006</v>
      </c>
      <c r="L32" s="1109"/>
    </row>
    <row r="33" spans="2:12" ht="17.25">
      <c r="B33" s="1113"/>
      <c r="C33" s="380"/>
      <c r="D33" s="416" t="s">
        <v>129</v>
      </c>
      <c r="E33" s="417">
        <f>'Sheet of Calculation'!D24</f>
        <v>5462355</v>
      </c>
      <c r="F33" s="418">
        <f>'Sheet of Calculation'!E24</f>
        <v>84000</v>
      </c>
      <c r="G33" s="1095"/>
      <c r="H33" s="419" t="s">
        <v>232</v>
      </c>
      <c r="I33" s="420">
        <f>'MisC Cal-2'!D10</f>
        <v>0</v>
      </c>
      <c r="J33" s="421" t="s">
        <v>29</v>
      </c>
      <c r="K33" s="420">
        <f>'Sheet of Calculation'!F58</f>
        <v>258717.25940803008</v>
      </c>
      <c r="L33" s="1109"/>
    </row>
    <row r="34" spans="2:12" ht="18.75">
      <c r="B34" s="1113"/>
      <c r="C34" s="1075" t="s">
        <v>714</v>
      </c>
      <c r="D34" s="1076"/>
      <c r="E34" s="1076"/>
      <c r="F34" s="1084"/>
      <c r="G34" s="1095"/>
      <c r="H34" s="419" t="str">
        <f>'MisC Intrst-3'!T32&amp;" wej¤^ my` (‡hvM)"</f>
        <v xml:space="preserve">  wej¤^ my` (‡hvM)</v>
      </c>
      <c r="I34" s="420">
        <f>'MisC Intrst-3'!L43</f>
        <v>0</v>
      </c>
      <c r="J34" s="421" t="s">
        <v>557</v>
      </c>
      <c r="K34" s="420">
        <f>'MisC Cal-2'!D11</f>
        <v>0</v>
      </c>
      <c r="L34" s="1109"/>
    </row>
    <row r="35" spans="2:12" ht="16.5" customHeight="1">
      <c r="B35" s="1113"/>
      <c r="C35" s="443"/>
      <c r="D35" s="999" t="s">
        <v>798</v>
      </c>
      <c r="E35" s="262">
        <f>932315+795827</f>
        <v>1728142</v>
      </c>
      <c r="F35" s="265">
        <v>180000</v>
      </c>
      <c r="G35" s="1095"/>
      <c r="H35" s="422" t="s">
        <v>233</v>
      </c>
      <c r="I35" s="420">
        <f>F51+F53</f>
        <v>0</v>
      </c>
      <c r="J35" s="421" t="s">
        <v>169</v>
      </c>
      <c r="K35" s="420">
        <f>F52</f>
        <v>0</v>
      </c>
      <c r="L35" s="1109"/>
    </row>
    <row r="36" spans="2:12" ht="20.25" thickBot="1">
      <c r="B36" s="1113"/>
      <c r="C36" s="380"/>
      <c r="D36" s="416" t="s">
        <v>128</v>
      </c>
      <c r="E36" s="417">
        <f>'Sheet of Calculation'!D26</f>
        <v>7190497</v>
      </c>
      <c r="F36" s="423">
        <f>F33+F35</f>
        <v>264000</v>
      </c>
      <c r="G36" s="1095"/>
      <c r="H36" s="424"/>
      <c r="I36" s="425" t="str">
        <f>'Sheet of Calculation'!E52</f>
        <v>cÖ‡`q AvqKi</v>
      </c>
      <c r="J36" s="426">
        <f>'Sheet of Calculation'!F52</f>
        <v>598267.04236821644</v>
      </c>
      <c r="K36" s="427">
        <f>ROUND(J36,0)</f>
        <v>598267</v>
      </c>
      <c r="L36" s="1109"/>
    </row>
    <row r="37" spans="2:12" ht="20.25" customHeight="1" thickTop="1" thickBot="1">
      <c r="B37" s="1113"/>
      <c r="C37" s="443"/>
      <c r="D37" s="444" t="s">
        <v>789</v>
      </c>
      <c r="E37" s="262">
        <v>0</v>
      </c>
      <c r="F37" s="263">
        <v>0</v>
      </c>
      <c r="G37" s="1095"/>
      <c r="H37" s="428" t="s">
        <v>626</v>
      </c>
      <c r="I37" s="272" t="s">
        <v>810</v>
      </c>
      <c r="J37" s="429"/>
      <c r="K37" s="430"/>
      <c r="L37" s="1109"/>
    </row>
    <row r="38" spans="2:12" ht="13.5" thickTop="1">
      <c r="B38" s="1113"/>
      <c r="C38" s="375"/>
      <c r="D38" s="375"/>
      <c r="E38" s="375"/>
      <c r="F38" s="375"/>
      <c r="G38" s="1095"/>
      <c r="H38" s="375"/>
      <c r="I38" s="375"/>
      <c r="J38" s="375"/>
      <c r="K38" s="375"/>
      <c r="L38" s="1109"/>
    </row>
    <row r="39" spans="2:12" ht="17.25">
      <c r="B39" s="1113"/>
      <c r="C39" s="375"/>
      <c r="D39" s="431" t="str">
        <f>'MisC Cal-2'!F63</f>
        <v>†iqvZ‡hvM¨ wewb‡qvM I e¨q</v>
      </c>
      <c r="E39" s="1000">
        <v>990235</v>
      </c>
      <c r="F39" s="375"/>
      <c r="G39" s="1095"/>
      <c r="H39" s="375"/>
      <c r="I39" s="375"/>
      <c r="J39" s="375"/>
      <c r="K39" s="375"/>
      <c r="L39" s="1109"/>
    </row>
    <row r="40" spans="2:12">
      <c r="B40" s="1113"/>
      <c r="C40" s="375"/>
      <c r="D40" s="375"/>
      <c r="E40" s="375"/>
      <c r="F40" s="375"/>
      <c r="G40" s="1095"/>
      <c r="H40" s="375"/>
      <c r="I40" s="375"/>
      <c r="J40" s="375"/>
      <c r="K40" s="375"/>
      <c r="L40" s="1109"/>
    </row>
    <row r="41" spans="2:12" ht="24.75">
      <c r="B41" s="1113"/>
      <c r="C41" s="1075" t="s">
        <v>709</v>
      </c>
      <c r="D41" s="1076"/>
      <c r="E41" s="1076"/>
      <c r="F41" s="1084"/>
      <c r="G41" s="1095"/>
      <c r="H41" s="1078" t="s">
        <v>716</v>
      </c>
      <c r="I41" s="1079"/>
      <c r="J41" s="1079"/>
      <c r="K41" s="1080"/>
      <c r="L41" s="1109"/>
    </row>
    <row r="42" spans="2:12" ht="18" customHeight="1">
      <c r="B42" s="1113"/>
      <c r="C42" s="380"/>
      <c r="D42" s="382" t="s">
        <v>93</v>
      </c>
      <c r="E42" s="432" t="s">
        <v>33</v>
      </c>
      <c r="F42" s="1132" t="s">
        <v>717</v>
      </c>
      <c r="G42" s="1095"/>
      <c r="H42" s="1099" t="s">
        <v>752</v>
      </c>
      <c r="I42" s="1099"/>
      <c r="J42" s="1099" t="s">
        <v>742</v>
      </c>
      <c r="K42" s="1099"/>
      <c r="L42" s="1109"/>
    </row>
    <row r="43" spans="2:12" ht="17.25">
      <c r="B43" s="1113"/>
      <c r="C43" s="445"/>
      <c r="D43" s="446" t="str">
        <f>D33</f>
        <v>wbqwgZ Drm n‡Z ‡gvU Avq (163 avivi Avq e¨wZZ)</v>
      </c>
      <c r="E43" s="433">
        <f>F33</f>
        <v>84000</v>
      </c>
      <c r="F43" s="1133"/>
      <c r="G43" s="1095"/>
      <c r="H43" s="1081" t="s">
        <v>743</v>
      </c>
      <c r="I43" s="1082"/>
      <c r="J43" s="1083" t="s">
        <v>747</v>
      </c>
      <c r="K43" s="1083"/>
      <c r="L43" s="1109"/>
    </row>
    <row r="44" spans="2:12" ht="17.25">
      <c r="B44" s="1113"/>
      <c r="C44" s="447"/>
      <c r="D44" s="448" t="s">
        <v>471</v>
      </c>
      <c r="E44" s="266">
        <v>400000</v>
      </c>
      <c r="F44" s="1133"/>
      <c r="G44" s="1095"/>
      <c r="H44" s="1093" t="s">
        <v>741</v>
      </c>
      <c r="I44" s="1094"/>
      <c r="J44" s="1083" t="s">
        <v>748</v>
      </c>
      <c r="K44" s="1083"/>
      <c r="L44" s="1109"/>
    </row>
    <row r="45" spans="2:12" ht="17.25">
      <c r="B45" s="1113"/>
      <c r="C45" s="447"/>
      <c r="D45" s="448" t="s">
        <v>131</v>
      </c>
      <c r="E45" s="266">
        <v>75000</v>
      </c>
      <c r="F45" s="1133"/>
      <c r="G45" s="1095"/>
      <c r="H45" s="1081" t="s">
        <v>744</v>
      </c>
      <c r="I45" s="1082"/>
      <c r="J45" s="1083" t="s">
        <v>749</v>
      </c>
      <c r="K45" s="1083"/>
      <c r="L45" s="1109"/>
    </row>
    <row r="46" spans="2:12" ht="18" customHeight="1" thickBot="1">
      <c r="B46" s="1113"/>
      <c r="C46" s="449"/>
      <c r="D46" s="450" t="s">
        <v>132</v>
      </c>
      <c r="E46" s="267">
        <v>0</v>
      </c>
      <c r="F46" s="1134"/>
      <c r="G46" s="1095"/>
      <c r="H46" s="1081" t="s">
        <v>745</v>
      </c>
      <c r="I46" s="1082"/>
      <c r="J46" s="1083" t="s">
        <v>751</v>
      </c>
      <c r="K46" s="1083"/>
      <c r="L46" s="1109"/>
    </row>
    <row r="47" spans="2:12" ht="16.899999999999999" customHeight="1" thickTop="1" thickBot="1">
      <c r="B47" s="1113"/>
      <c r="C47" s="451"/>
      <c r="D47" s="452" t="s">
        <v>624</v>
      </c>
      <c r="E47" s="268">
        <v>180000</v>
      </c>
      <c r="F47" s="251" t="s">
        <v>55</v>
      </c>
      <c r="G47" s="1095"/>
      <c r="H47" s="1081" t="s">
        <v>746</v>
      </c>
      <c r="I47" s="1082"/>
      <c r="J47" s="1083" t="s">
        <v>750</v>
      </c>
      <c r="K47" s="1083"/>
      <c r="L47" s="1109"/>
    </row>
    <row r="48" spans="2:12" ht="13.5" thickTop="1">
      <c r="B48" s="1113"/>
      <c r="C48" s="375"/>
      <c r="D48" s="375"/>
      <c r="E48" s="375"/>
      <c r="F48" s="375"/>
      <c r="G48" s="1095"/>
      <c r="H48" s="375"/>
      <c r="I48" s="375"/>
      <c r="J48" s="375"/>
      <c r="K48" s="375"/>
      <c r="L48" s="1109"/>
    </row>
    <row r="49" spans="2:12" ht="18.75">
      <c r="B49" s="1113"/>
      <c r="C49" s="1075" t="s">
        <v>625</v>
      </c>
      <c r="D49" s="1076"/>
      <c r="E49" s="1076"/>
      <c r="F49" s="1077"/>
      <c r="G49" s="1095"/>
      <c r="H49" s="1085" t="s">
        <v>639</v>
      </c>
      <c r="I49" s="1086"/>
      <c r="J49" s="1089" t="s">
        <v>167</v>
      </c>
      <c r="K49" s="1090"/>
      <c r="L49" s="1109"/>
    </row>
    <row r="50" spans="2:12" ht="16.5">
      <c r="B50" s="1113"/>
      <c r="C50" s="453" t="s">
        <v>168</v>
      </c>
      <c r="D50" s="454"/>
      <c r="E50" s="454"/>
      <c r="F50" s="442" t="s">
        <v>808</v>
      </c>
      <c r="G50" s="1095"/>
      <c r="H50" s="1087"/>
      <c r="I50" s="1088"/>
      <c r="J50" s="1091"/>
      <c r="K50" s="1092"/>
      <c r="L50" s="1109"/>
    </row>
    <row r="51" spans="2:12" ht="17.25">
      <c r="B51" s="1113"/>
      <c r="C51" s="455"/>
      <c r="D51" s="456"/>
      <c r="E51" s="457" t="s">
        <v>165</v>
      </c>
      <c r="F51" s="269">
        <v>0</v>
      </c>
      <c r="G51" s="1095"/>
      <c r="H51" s="434" t="s">
        <v>153</v>
      </c>
      <c r="I51" s="271">
        <v>22</v>
      </c>
      <c r="J51" s="434" t="s">
        <v>153</v>
      </c>
      <c r="K51" s="271">
        <v>27</v>
      </c>
      <c r="L51" s="1109"/>
    </row>
    <row r="52" spans="2:12" ht="16.5">
      <c r="B52" s="1113"/>
      <c r="C52" s="455"/>
      <c r="D52" s="456"/>
      <c r="E52" s="458" t="s">
        <v>169</v>
      </c>
      <c r="F52" s="270">
        <v>0</v>
      </c>
      <c r="G52" s="1095"/>
      <c r="H52" s="375"/>
      <c r="I52" s="375"/>
      <c r="J52" s="375"/>
      <c r="K52" s="375"/>
      <c r="L52" s="1109"/>
    </row>
    <row r="53" spans="2:12" ht="16.5">
      <c r="B53" s="1113"/>
      <c r="C53" s="459"/>
      <c r="D53" s="460"/>
      <c r="E53" s="461" t="s">
        <v>185</v>
      </c>
      <c r="F53" s="270">
        <v>0</v>
      </c>
      <c r="G53" s="1095"/>
      <c r="H53" s="375"/>
      <c r="I53" s="375"/>
      <c r="J53" s="375"/>
      <c r="K53" s="375"/>
      <c r="L53" s="1109"/>
    </row>
    <row r="54" spans="2:12">
      <c r="B54" s="1111"/>
      <c r="C54" s="1112"/>
      <c r="D54" s="1112"/>
      <c r="E54" s="1112"/>
      <c r="F54" s="1112"/>
      <c r="G54" s="1112"/>
      <c r="H54" s="1112"/>
      <c r="I54" s="1112"/>
      <c r="J54" s="1112"/>
      <c r="K54" s="1112"/>
      <c r="L54" s="1110"/>
    </row>
    <row r="56" spans="2:12" ht="12.75" customHeight="1">
      <c r="C56" s="153" t="s">
        <v>162</v>
      </c>
      <c r="D56" s="1101" t="s">
        <v>718</v>
      </c>
      <c r="E56" s="1102"/>
      <c r="I56" s="1100" t="s">
        <v>811</v>
      </c>
      <c r="J56" s="1100"/>
      <c r="K56" s="1100"/>
      <c r="L56" s="435"/>
    </row>
    <row r="57" spans="2:12" ht="15.75" customHeight="1">
      <c r="C57" s="348"/>
      <c r="D57" s="1297" t="s">
        <v>719</v>
      </c>
      <c r="E57" s="1296"/>
      <c r="I57" s="1100"/>
      <c r="J57" s="1100"/>
      <c r="K57" s="1100"/>
      <c r="L57" s="435"/>
    </row>
    <row r="58" spans="2:12" ht="15.75" customHeight="1">
      <c r="C58" s="348"/>
      <c r="D58" s="436" t="s">
        <v>740</v>
      </c>
      <c r="E58" s="437"/>
      <c r="I58" s="1100"/>
      <c r="J58" s="1100"/>
      <c r="K58" s="1100"/>
      <c r="L58" s="435"/>
    </row>
    <row r="59" spans="2:12" ht="12.75" customHeight="1">
      <c r="C59" s="348"/>
      <c r="I59" s="1100"/>
      <c r="J59" s="1100"/>
      <c r="K59" s="1100"/>
      <c r="L59" s="435"/>
    </row>
    <row r="60" spans="2:12">
      <c r="I60" s="1100"/>
      <c r="J60" s="1100"/>
      <c r="K60" s="1100"/>
      <c r="L60" s="435"/>
    </row>
    <row r="61" spans="2:12" ht="15.75" customHeight="1">
      <c r="I61" s="1298" t="s">
        <v>812</v>
      </c>
      <c r="J61" s="1299"/>
      <c r="K61" s="1299"/>
      <c r="L61" s="435"/>
    </row>
    <row r="62" spans="2:12">
      <c r="K62"/>
    </row>
  </sheetData>
  <sheetProtection algorithmName="SHA-512" hashValue="A6dCafGInJJ1oDlM+Vy988cXd03kRCD6WWJiRLRPqtDfWFDlrzfhxg1V7P6LiS2vQVEXvMHogP9b/puslNoEfg==" saltValue="fiQ9NyBYULU3eUJBHFtM+A==" spinCount="100000" sheet="1" objects="1" scenarios="1"/>
  <mergeCells count="36">
    <mergeCell ref="D56:E56"/>
    <mergeCell ref="H10:K10"/>
    <mergeCell ref="B2:L2"/>
    <mergeCell ref="L3:L54"/>
    <mergeCell ref="B54:K54"/>
    <mergeCell ref="B3:B53"/>
    <mergeCell ref="D7:F7"/>
    <mergeCell ref="H24:K24"/>
    <mergeCell ref="H29:K30"/>
    <mergeCell ref="C3:F3"/>
    <mergeCell ref="C13:F13"/>
    <mergeCell ref="C24:F24"/>
    <mergeCell ref="H14:K20"/>
    <mergeCell ref="C34:F34"/>
    <mergeCell ref="F42:F46"/>
    <mergeCell ref="H43:I43"/>
    <mergeCell ref="I61:K61"/>
    <mergeCell ref="H3:K3"/>
    <mergeCell ref="H42:I42"/>
    <mergeCell ref="J42:K42"/>
    <mergeCell ref="I56:K60"/>
    <mergeCell ref="C49:F49"/>
    <mergeCell ref="H41:K41"/>
    <mergeCell ref="H46:I46"/>
    <mergeCell ref="H47:I47"/>
    <mergeCell ref="J43:K43"/>
    <mergeCell ref="J44:K44"/>
    <mergeCell ref="C41:F41"/>
    <mergeCell ref="J45:K45"/>
    <mergeCell ref="J46:K46"/>
    <mergeCell ref="J47:K47"/>
    <mergeCell ref="H49:I50"/>
    <mergeCell ref="J49:K50"/>
    <mergeCell ref="H44:I44"/>
    <mergeCell ref="H45:I45"/>
    <mergeCell ref="G3:G53"/>
  </mergeCells>
  <conditionalFormatting sqref="C11:D11">
    <cfRule type="expression" dxfId="41" priority="53" stopIfTrue="1">
      <formula>OR($D$4="2016-17",$D$4="2017-18")</formula>
    </cfRule>
  </conditionalFormatting>
  <conditionalFormatting sqref="C15:D22 C26:D26">
    <cfRule type="expression" dxfId="40" priority="12">
      <formula>$F$11="বেতন অপ্রযোজ্য"</formula>
    </cfRule>
  </conditionalFormatting>
  <conditionalFormatting sqref="E15:F22 E26:F26">
    <cfRule type="expression" dxfId="38" priority="62" stopIfTrue="1">
      <formula>$F$11="বেতন অপ্রযোজ্য"</formula>
    </cfRule>
  </conditionalFormatting>
  <conditionalFormatting sqref="H32:I32">
    <cfRule type="expression" dxfId="35" priority="34" stopIfTrue="1">
      <formula>$I$32=0</formula>
    </cfRule>
  </conditionalFormatting>
  <conditionalFormatting sqref="H33:I33">
    <cfRule type="expression" dxfId="34" priority="33">
      <formula>$I$33=0</formula>
    </cfRule>
  </conditionalFormatting>
  <conditionalFormatting sqref="H34:I34">
    <cfRule type="expression" dxfId="33" priority="35" stopIfTrue="1">
      <formula>$I$34=0</formula>
    </cfRule>
  </conditionalFormatting>
  <conditionalFormatting sqref="H35:I35">
    <cfRule type="expression" dxfId="32" priority="31">
      <formula>$I$35=0</formula>
    </cfRule>
  </conditionalFormatting>
  <conditionalFormatting sqref="J34:K34">
    <cfRule type="expression" dxfId="26" priority="32">
      <formula>$K$34=0</formula>
    </cfRule>
  </conditionalFormatting>
  <conditionalFormatting sqref="J35:K35">
    <cfRule type="expression" dxfId="25" priority="30">
      <formula>$K$35=0</formula>
    </cfRule>
  </conditionalFormatting>
  <conditionalFormatting sqref="K32:K33">
    <cfRule type="expression" dxfId="18" priority="29">
      <formula>$K$33=0</formula>
    </cfRule>
  </conditionalFormatting>
  <dataValidations xWindow="190" yWindow="1119" count="16">
    <dataValidation type="custom" allowBlank="1" showInputMessage="1" showErrorMessage="1" sqref="C11" xr:uid="{92479E2B-8DDC-45B5-AF96-1C7D8965079B}">
      <formula1>OR($D$4=2016-17,$D$4=2017-18)</formula1>
    </dataValidation>
    <dataValidation type="custom" allowBlank="1" showInputMessage="1" showErrorMessage="1" sqref="E15:F21" xr:uid="{51335F33-45C0-426F-B003-F8929C9CC9BF}">
      <formula1>$F$11="বেতন-ভাতা (Yes)"</formula1>
    </dataValidation>
    <dataValidation type="custom" allowBlank="1" showInputMessage="1" showErrorMessage="1" prompt="Mottakenur:_x000a_২০২৩-২৪ করবর্ষ হতে, একাধিক গাড়ি থাকলে, অতিরিক্ত প্রতিটি গাড়ির জন্য (সিডিউল অনুযায়ী)" sqref="F10" xr:uid="{B773F73E-4718-41B8-9DD9-402EE7D20E25}">
      <formula1>$E$10="cwi‡ek mviPvR©"</formula1>
    </dataValidation>
    <dataValidation type="whole" operator="equal" allowBlank="1" showInputMessage="1" showErrorMessage="1" sqref="F31" xr:uid="{85C495F9-74A5-4E60-930B-515679A55600}">
      <formula1>0</formula1>
    </dataValidation>
    <dataValidation type="textLength" operator="equal" allowBlank="1" showInputMessage="1" showErrorMessage="1" errorTitle="12 Digit Valid TIN" error="Input 12 digit valid TIN no." sqref="F4" xr:uid="{F6CE0FF8-0278-445B-B1EE-3BB79FE38EAB}">
      <formula1>12</formula1>
    </dataValidation>
    <dataValidation type="whole" operator="greaterThanOrEqual" allowBlank="1" showInputMessage="1" showErrorMessage="1" errorTitle="Negetaive No Error" error="Input positive number" sqref="F9 F26 F27 F28 F29 F30 F32 E32 E31 E30 E29 E27 E28 E35 F35 F51 F37 E39 E44 F53 F52 E47" xr:uid="{D140EA0A-2A3E-4965-B249-405EC67B22D2}">
      <formula1>0</formula1>
    </dataValidation>
    <dataValidation type="whole" operator="greaterThanOrEqual" allowBlank="1" showInputMessage="1" showErrorMessage="1" errorTitle="Negative No Error" error="Input a valid positive no." sqref="I51 K51" xr:uid="{E648D956-9976-4AA8-A2C0-F9A9C7E0D5A5}">
      <formula1>0</formula1>
    </dataValidation>
    <dataValidation allowBlank="1" showInputMessage="1" showErrorMessage="1" prompt="Mottakenur:_x000a_বিভিন্ন ধারায় জরিমানা, ২১৪(৪) সুদ বা অন্য কোন ধারায় করদায় প্রযোজ্য হলে, ম্যানুয়ালি তা ইনপুট দিতে হবে।" sqref="C49:F49" xr:uid="{5683B04F-49B2-4409-8235-E5882C7D4887}"/>
    <dataValidation allowBlank="1" showInputMessage="1" showErrorMessage="1" prompt="চাকরি হতে আয়ের বিভিন্ন খাত, ড্রপ-ডাউন সিলেক্ট করে বাছাই করুন।_x000a_*খাতসমূহের প্রকৃত আয়  এবং তা হতে করমুক্ত/অব্যাহতি প্রাপ্ত আয়, ম্যানুয়ালি ইনপুট দিন। " sqref="D14" xr:uid="{06AECE3C-B633-4975-B784-FE11AB875BAF}"/>
    <dataValidation allowBlank="1" showInputMessage="1" showErrorMessage="1" prompt="Input Valid Positive no." sqref="E14" xr:uid="{5E1B4294-8C66-4D24-A823-0DC05B9D6266}"/>
    <dataValidation allowBlank="1" showInputMessage="1" showErrorMessage="1" prompt="Input Valid Positive No." sqref="F14" xr:uid="{1E4AC147-0B9B-4DD8-9DC6-FF2CA1E27949}"/>
    <dataValidation type="whole" operator="greaterThanOrEqual" allowBlank="1" showInputMessage="1" showErrorMessage="1" errorTitle="Negetaive No Error" error="Input positive number" prompt="Mottakenur: _x000a_এই করের উপর ধারা ১৫৩(৬) এবং (৭) নিয়ম {আয়কর অধ্যাদেশের ৬৮বি(৪) এবং (৫)} প্রযোজ্য হবে।" sqref="E45" xr:uid="{A8EC955E-064B-4888-B7E1-85D315BD5655}">
      <formula1>0</formula1>
    </dataValidation>
    <dataValidation type="whole" operator="greaterThanOrEqual" allowBlank="1" showInputMessage="1" showErrorMessage="1" errorTitle="Negetaive No Error" error="Input positive number" prompt="রিটার্নের সাথে ১৭৩ ধারায় কর দেয়া থাকলে, তার ভিত্তিতে ১৬০/১৬২ ধারার সরল সুদ পরিবর্তিত হবে। " sqref="E46" xr:uid="{CD1540CD-29D6-41F9-947F-A423CF74DE36}">
      <formula1>0</formula1>
    </dataValidation>
    <dataValidation type="whole" operator="greaterThanOrEqual" allowBlank="1" showInputMessage="1" showErrorMessage="1" errorTitle="Negetaive No Error" error="Input positive number" prompt="Mottakenur:_x000a_আয়কর আইন এবং পূর্বের অধ্যাদেশে বর্ণিত চূড়ান্ত করদায়ভুক্ত খাত/খাত সমূহের আয় এবং কর্তিত উৎসে কর। " sqref="E37" xr:uid="{216B7B27-DFC9-49E2-AC49-FD78218FC492}">
      <formula1>0</formula1>
    </dataValidation>
    <dataValidation allowBlank="1" showInputMessage="1" showErrorMessage="1" prompt="বাংলায় টাকার অংক লিখুন।" sqref="I37" xr:uid="{DD198833-7D32-40DF-B9AE-74F4589FE26C}"/>
    <dataValidation allowBlank="1" showInputMessage="1" showErrorMessage="1" prompt="যে ফর্ম প্রিন্ট করতে চান, সেটি সিলেক্ট করুন। " sqref="H41:K41" xr:uid="{7852E564-55A0-4AD8-B267-0743FD6CA248}"/>
  </dataValidations>
  <hyperlinks>
    <hyperlink ref="K7" r:id="rId1" xr:uid="{453E1A1C-3962-467E-8648-EEFF26CC8E37}"/>
    <hyperlink ref="I61" r:id="rId2" xr:uid="{7FD62CCC-7A64-4E25-BEE8-F1CEF146FD54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6" name="Check Box 55">
              <controlPr defaultSize="0" autoFill="0" autoLine="0" autoPict="0">
                <anchor moveWithCells="1">
                  <from>
                    <xdr:col>7</xdr:col>
                    <xdr:colOff>66675</xdr:colOff>
                    <xdr:row>42</xdr:row>
                    <xdr:rowOff>0</xdr:rowOff>
                  </from>
                  <to>
                    <xdr:col>7</xdr:col>
                    <xdr:colOff>304800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7" name="Check Box 57">
              <controlPr defaultSize="0" autoFill="0" autoLine="0" autoPict="0">
                <anchor moveWithCells="1">
                  <from>
                    <xdr:col>7</xdr:col>
                    <xdr:colOff>66675</xdr:colOff>
                    <xdr:row>43</xdr:row>
                    <xdr:rowOff>9525</xdr:rowOff>
                  </from>
                  <to>
                    <xdr:col>7</xdr:col>
                    <xdr:colOff>295275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8" name="Check Box 58">
              <controlPr defaultSize="0" autoFill="0" autoLine="0" autoPict="0">
                <anchor moveWithCells="1">
                  <from>
                    <xdr:col>7</xdr:col>
                    <xdr:colOff>66675</xdr:colOff>
                    <xdr:row>43</xdr:row>
                    <xdr:rowOff>209550</xdr:rowOff>
                  </from>
                  <to>
                    <xdr:col>7</xdr:col>
                    <xdr:colOff>304800</xdr:colOff>
                    <xdr:row>44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9" name="Check Box 59">
              <controlPr defaultSize="0" autoFill="0" autoLine="0" autoPict="0">
                <anchor moveWithCells="1">
                  <from>
                    <xdr:col>7</xdr:col>
                    <xdr:colOff>66675</xdr:colOff>
                    <xdr:row>44</xdr:row>
                    <xdr:rowOff>209550</xdr:rowOff>
                  </from>
                  <to>
                    <xdr:col>7</xdr:col>
                    <xdr:colOff>371475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" name="Check Box 60">
              <controlPr defaultSize="0" autoFill="0" autoLine="0" autoPict="0">
                <anchor moveWithCells="1">
                  <from>
                    <xdr:col>7</xdr:col>
                    <xdr:colOff>76200</xdr:colOff>
                    <xdr:row>45</xdr:row>
                    <xdr:rowOff>219075</xdr:rowOff>
                  </from>
                  <to>
                    <xdr:col>7</xdr:col>
                    <xdr:colOff>314325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1" name="Check Box 61">
              <controlPr defaultSize="0" autoFill="0" autoLine="0" autoPict="0">
                <anchor moveWithCells="1">
                  <from>
                    <xdr:col>9</xdr:col>
                    <xdr:colOff>57150</xdr:colOff>
                    <xdr:row>43</xdr:row>
                    <xdr:rowOff>0</xdr:rowOff>
                  </from>
                  <to>
                    <xdr:col>9</xdr:col>
                    <xdr:colOff>285750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2" name="Check Box 62">
              <controlPr defaultSize="0" autoFill="0" autoLine="0" autoPict="0">
                <anchor moveWithCells="1">
                  <from>
                    <xdr:col>9</xdr:col>
                    <xdr:colOff>57150</xdr:colOff>
                    <xdr:row>41</xdr:row>
                    <xdr:rowOff>228600</xdr:rowOff>
                  </from>
                  <to>
                    <xdr:col>9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Check Box 64">
              <controlPr defaultSize="0" autoFill="0" autoLine="0" autoPict="0">
                <anchor moveWithCells="1">
                  <from>
                    <xdr:col>9</xdr:col>
                    <xdr:colOff>66675</xdr:colOff>
                    <xdr:row>45</xdr:row>
                    <xdr:rowOff>219075</xdr:rowOff>
                  </from>
                  <to>
                    <xdr:col>9</xdr:col>
                    <xdr:colOff>304800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Check Box 65">
              <controlPr defaultSize="0" autoFill="0" autoLine="0" autoPict="0">
                <anchor moveWithCells="1">
                  <from>
                    <xdr:col>9</xdr:col>
                    <xdr:colOff>66675</xdr:colOff>
                    <xdr:row>43</xdr:row>
                    <xdr:rowOff>209550</xdr:rowOff>
                  </from>
                  <to>
                    <xdr:col>9</xdr:col>
                    <xdr:colOff>295275</xdr:colOff>
                    <xdr:row>44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Check Box 66">
              <controlPr defaultSize="0" autoFill="0" autoLine="0" autoPict="0">
                <anchor moveWithCells="1">
                  <from>
                    <xdr:col>9</xdr:col>
                    <xdr:colOff>66675</xdr:colOff>
                    <xdr:row>44</xdr:row>
                    <xdr:rowOff>209550</xdr:rowOff>
                  </from>
                  <to>
                    <xdr:col>9</xdr:col>
                    <xdr:colOff>323850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4" stopIfTrue="1" id="{95EFFA87-D5D8-4195-BC8F-C91B4C938504}">
            <xm:f>OR($D$4='MisC Intrst-3'!$R$10:$R$16)</xm:f>
            <x14:dxf>
              <font>
                <color theme="4" tint="0.79998168889431442"/>
              </font>
              <fill>
                <patternFill patternType="lightGray">
                  <fgColor theme="3"/>
                </patternFill>
              </fill>
            </x14:dxf>
          </x14:cfRule>
          <xm:sqref>E10:F10</xm:sqref>
        </x14:conditionalFormatting>
        <x14:conditionalFormatting xmlns:xm="http://schemas.microsoft.com/office/excel/2006/main">
          <x14:cfRule type="expression" priority="11" id="{38ACC23B-A415-4027-A5B9-EA6EF48A1A6C}">
            <xm:f>'MisC Cal-1'!$D$87="OLD 174"</xm:f>
            <x14:dxf>
              <font>
                <color theme="0"/>
              </font>
              <fill>
                <patternFill patternType="gray0625"/>
              </fill>
            </x14:dxf>
          </x14:cfRule>
          <x14:cfRule type="expression" priority="38" stopIfTrue="1" id="{AA063BD4-BF05-4490-8A48-AC17D04FDA9D}">
            <xm:f>'MisC Cal-1'!$D$86="No"</xm:f>
            <x14:dxf>
              <font>
                <color theme="0" tint="-0.24994659260841701"/>
              </font>
              <fill>
                <patternFill patternType="lightGray">
                  <fgColor theme="4"/>
                  <bgColor theme="4" tint="0.79998168889431442"/>
                </patternFill>
              </fill>
            </x14:dxf>
          </x14:cfRule>
          <xm:sqref>F15:F21</xm:sqref>
        </x14:conditionalFormatting>
        <x14:conditionalFormatting xmlns:xm="http://schemas.microsoft.com/office/excel/2006/main">
          <x14:cfRule type="expression" priority="10" stopIfTrue="1" id="{3DD201A0-002D-4B0B-BA42-6278A8CCC57C}">
            <xm:f>'MisC Cal-1'!$E$161=TRUE</xm:f>
            <x14:dxf>
              <fill>
                <patternFill>
                  <bgColor rgb="FFFFC000"/>
                </patternFill>
              </fill>
            </x14:dxf>
          </x14:cfRule>
          <xm:sqref>H43:I43</xm:sqref>
        </x14:conditionalFormatting>
        <x14:conditionalFormatting xmlns:xm="http://schemas.microsoft.com/office/excel/2006/main">
          <x14:cfRule type="expression" priority="9" id="{DDD3B9F1-C38F-49C7-B949-50F0BEED7FFA}">
            <xm:f>'MisC Cal-1'!$E$162=TRUE</xm:f>
            <x14:dxf>
              <fill>
                <patternFill>
                  <bgColor rgb="FFFFC000"/>
                </patternFill>
              </fill>
            </x14:dxf>
          </x14:cfRule>
          <xm:sqref>H44:I44</xm:sqref>
        </x14:conditionalFormatting>
        <x14:conditionalFormatting xmlns:xm="http://schemas.microsoft.com/office/excel/2006/main">
          <x14:cfRule type="expression" priority="8" id="{6AE2DB6D-BB39-4CE3-954C-EF92C0004793}">
            <xm:f>'MisC Cal-1'!$E$163=TRUE</xm:f>
            <x14:dxf>
              <fill>
                <patternFill>
                  <bgColor rgb="FFFFC000"/>
                </patternFill>
              </fill>
            </x14:dxf>
          </x14:cfRule>
          <xm:sqref>H45:I45</xm:sqref>
        </x14:conditionalFormatting>
        <x14:conditionalFormatting xmlns:xm="http://schemas.microsoft.com/office/excel/2006/main">
          <x14:cfRule type="expression" priority="7" id="{B3B5898D-E429-4840-943F-F98FF57C67E9}">
            <xm:f>'MisC Cal-1'!$E$164=TRUE</xm:f>
            <x14:dxf>
              <fill>
                <patternFill>
                  <bgColor rgb="FF00B0F0"/>
                </patternFill>
              </fill>
            </x14:dxf>
          </x14:cfRule>
          <xm:sqref>H46:I46</xm:sqref>
        </x14:conditionalFormatting>
        <x14:conditionalFormatting xmlns:xm="http://schemas.microsoft.com/office/excel/2006/main">
          <x14:cfRule type="expression" priority="6" id="{784C4A86-0331-4ADE-B6B2-110F2232C151}">
            <xm:f>'MisC Cal-1'!$E$165=TRUE</xm:f>
            <x14:dxf>
              <fill>
                <patternFill>
                  <bgColor rgb="FF00B0F0"/>
                </patternFill>
              </fill>
            </x14:dxf>
          </x14:cfRule>
          <xm:sqref>H47:I47</xm:sqref>
        </x14:conditionalFormatting>
        <x14:conditionalFormatting xmlns:xm="http://schemas.microsoft.com/office/excel/2006/main">
          <x14:cfRule type="expression" priority="5" id="{C79A0AC9-6B3F-4712-9E9F-108C650FEAFC}">
            <xm:f>'MisC Cal-1'!$H$161=TRUE</xm:f>
            <x14:dxf>
              <fill>
                <patternFill>
                  <bgColor rgb="FF92D050"/>
                </patternFill>
              </fill>
            </x14:dxf>
          </x14:cfRule>
          <xm:sqref>J43:K43</xm:sqref>
        </x14:conditionalFormatting>
        <x14:conditionalFormatting xmlns:xm="http://schemas.microsoft.com/office/excel/2006/main">
          <x14:cfRule type="expression" priority="4" id="{36FC0239-8C54-4962-A0BF-D9470861FF2A}">
            <xm:f>'MisC Cal-1'!$H$162=TRUE</xm:f>
            <x14:dxf>
              <fill>
                <patternFill>
                  <bgColor rgb="FF92D050"/>
                </patternFill>
              </fill>
            </x14:dxf>
          </x14:cfRule>
          <xm:sqref>J44:K44</xm:sqref>
        </x14:conditionalFormatting>
        <x14:conditionalFormatting xmlns:xm="http://schemas.microsoft.com/office/excel/2006/main">
          <x14:cfRule type="expression" priority="3" id="{5999952A-392C-4A52-96F3-7B4094A0AD93}">
            <xm:f>'MisC Cal-1'!$H$163=TRUE</xm:f>
            <x14:dxf>
              <fill>
                <patternFill>
                  <bgColor rgb="FF9A57CD"/>
                </patternFill>
              </fill>
            </x14:dxf>
          </x14:cfRule>
          <xm:sqref>J45:K45</xm:sqref>
        </x14:conditionalFormatting>
        <x14:conditionalFormatting xmlns:xm="http://schemas.microsoft.com/office/excel/2006/main">
          <x14:cfRule type="expression" priority="2" id="{8D878435-C7C4-479F-8E15-413C1618759B}">
            <xm:f>'MisC Cal-1'!$H$165=TRUE</xm:f>
            <x14:dxf>
              <fill>
                <patternFill>
                  <bgColor rgb="FF954ECA"/>
                </patternFill>
              </fill>
            </x14:dxf>
          </x14:cfRule>
          <xm:sqref>J46:K46</xm:sqref>
        </x14:conditionalFormatting>
        <x14:conditionalFormatting xmlns:xm="http://schemas.microsoft.com/office/excel/2006/main">
          <x14:cfRule type="expression" priority="1" id="{BB375D66-84F5-4642-8E7A-49F5B36507F5}">
            <xm:f>'MisC Cal-1'!$H$164=TRUE</xm:f>
            <x14:dxf>
              <fill>
                <patternFill>
                  <bgColor rgb="FF33A8FF"/>
                </patternFill>
              </fill>
            </x14:dxf>
          </x14:cfRule>
          <xm:sqref>J47:K47</xm:sqref>
        </x14:conditionalFormatting>
        <x14:conditionalFormatting xmlns:xm="http://schemas.microsoft.com/office/excel/2006/main">
          <x14:cfRule type="expression" priority="37" stopIfTrue="1" id="{4BDF3494-42C3-4547-8486-4282BB83F023}">
            <xm:f>'MisC Cal-1'!$I$12=0</xm:f>
            <x14:dxf>
              <font>
                <color theme="4" tint="0.79998168889431442"/>
              </font>
              <fill>
                <patternFill patternType="lightGray">
                  <fgColor theme="3"/>
                </patternFill>
              </fill>
            </x14:dxf>
          </x14:cfRule>
          <xm:sqref>K26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190" yWindow="1119" count="22">
        <x14:dataValidation type="list" allowBlank="1" showInputMessage="1" showErrorMessage="1" xr:uid="{B9E17421-C03F-46B7-ABD0-ABE7105606B9}">
          <x14:formula1>
            <xm:f>'MisC Cal-1'!$B$82:$B$86</xm:f>
          </x14:formula1>
          <xm:sqref>D16</xm:sqref>
        </x14:dataValidation>
        <x14:dataValidation type="list" allowBlank="1" showInputMessage="1" showErrorMessage="1" xr:uid="{DF045BFF-8902-4AD8-800A-4CBC4F6D4DC8}">
          <x14:formula1>
            <xm:f>'MisC Intrst-3'!$R$10:$R$21</xm:f>
          </x14:formula1>
          <xm:sqref>D4</xm:sqref>
        </x14:dataValidation>
        <x14:dataValidation type="list" allowBlank="1" showInputMessage="1" showErrorMessage="1" xr:uid="{4C453C1F-BED4-4448-9D12-9E9D6C396914}">
          <x14:formula1>
            <xm:f>'MisC Cal-1'!$B$57:$B$64</xm:f>
          </x14:formula1>
          <xm:sqref>D8</xm:sqref>
        </x14:dataValidation>
        <x14:dataValidation type="list" allowBlank="1" showInputMessage="1" showErrorMessage="1" xr:uid="{9B6A399F-4A03-4713-864B-68A1BAA7D486}">
          <x14:formula1>
            <xm:f>'MisC Cal-1'!$B$95:$B$96</xm:f>
          </x14:formula1>
          <xm:sqref>D17</xm:sqref>
        </x14:dataValidation>
        <x14:dataValidation type="list" allowBlank="1" showInputMessage="1" showErrorMessage="1" xr:uid="{E8694D7B-A210-49FE-92E3-DACD5FE19937}">
          <x14:formula1>
            <xm:f>'MisC Cal-1'!$B$89:$B$92</xm:f>
          </x14:formula1>
          <xm:sqref>D15</xm:sqref>
        </x14:dataValidation>
        <x14:dataValidation type="list" allowBlank="1" showInputMessage="1" showErrorMessage="1" xr:uid="{E4C9A8EF-04D8-41C8-81A1-DD62345FD20F}">
          <x14:formula1>
            <xm:f>'MisC Cal-1'!$B$115:$B$118</xm:f>
          </x14:formula1>
          <xm:sqref>D21</xm:sqref>
        </x14:dataValidation>
        <x14:dataValidation type="list" allowBlank="1" showInputMessage="1" showErrorMessage="1" xr:uid="{2B8AE8E5-38F6-4DC3-86E3-8BACAF0D1BDE}">
          <x14:formula1>
            <xm:f>'MisC Cal-2'!$G$5:$G$10</xm:f>
          </x14:formula1>
          <xm:sqref>D10</xm:sqref>
        </x14:dataValidation>
        <x14:dataValidation type="list" allowBlank="1" showInputMessage="1" showErrorMessage="1" xr:uid="{3D53F27E-12AD-43D5-B5AA-E6F37046EC17}">
          <x14:formula1>
            <xm:f>'MisC Cal-1'!$B$150:$B$152</xm:f>
          </x14:formula1>
          <xm:sqref>I5</xm:sqref>
        </x14:dataValidation>
        <x14:dataValidation type="list" allowBlank="1" showInputMessage="1" showErrorMessage="1" xr:uid="{D73F8751-1C7D-4A42-AE53-D570C7FAA06C}">
          <x14:formula1>
            <xm:f>'MisC Cal-1'!$F$31:$F$33</xm:f>
          </x14:formula1>
          <xm:sqref>I6</xm:sqref>
        </x14:dataValidation>
        <x14:dataValidation type="list" allowBlank="1" showInputMessage="1" showErrorMessage="1" xr:uid="{893B529A-1D1F-49A3-ACE8-55E65EECCCB6}">
          <x14:formula1>
            <xm:f>'MisC Cal-1'!$AA$5:$AA$36</xm:f>
          </x14:formula1>
          <xm:sqref>K5</xm:sqref>
        </x14:dataValidation>
        <x14:dataValidation type="list" allowBlank="1" showInputMessage="1" showErrorMessage="1" xr:uid="{08D2329C-28BF-4013-9C72-42671D7E7B23}">
          <x14:formula1>
            <xm:f>'MisC Cal-1'!$AB$4:$AD$4</xm:f>
          </x14:formula1>
          <xm:sqref>I8</xm:sqref>
        </x14:dataValidation>
        <x14:dataValidation type="list" allowBlank="1" showInputMessage="1" showErrorMessage="1" xr:uid="{2B5F7B5E-173E-472E-93BC-F23BE714EE29}">
          <x14:formula1>
            <xm:f>'MisC Cal-2'!$F$13:$F$14</xm:f>
          </x14:formula1>
          <xm:sqref>D11</xm:sqref>
        </x14:dataValidation>
        <x14:dataValidation type="list" allowBlank="1" showInputMessage="1" showErrorMessage="1" xr:uid="{5929BD7B-8327-40B2-A138-09CACA916AE8}">
          <x14:formula1>
            <xm:f>'MisC Cal-1'!$AI$3:$AI$38</xm:f>
          </x14:formula1>
          <xm:sqref>F8</xm:sqref>
        </x14:dataValidation>
        <x14:dataValidation type="list" allowBlank="1" showInputMessage="1" showErrorMessage="1" xr:uid="{2F0F805D-1B68-461B-8AE0-A7807153CEC8}">
          <x14:formula1>
            <xm:f>'MisC Cal-1'!$B$98:$B$112</xm:f>
          </x14:formula1>
          <xm:sqref>D18:D20</xm:sqref>
        </x14:dataValidation>
        <x14:dataValidation type="list" allowBlank="1" showInputMessage="1" showErrorMessage="1" xr:uid="{C6783142-87B9-480F-823C-59A905931549}">
          <x14:formula1>
            <xm:f>'MisC Cal-1'!$B$121:$B$131</xm:f>
          </x14:formula1>
          <xm:sqref>D30</xm:sqref>
        </x14:dataValidation>
        <x14:dataValidation type="list" allowBlank="1" showInputMessage="1" showErrorMessage="1" xr:uid="{AD4BF1B2-F86B-4D15-A1F3-C2E460E1E5CE}">
          <x14:formula1>
            <xm:f>'MisC Cal-1'!$D$83:$D$84</xm:f>
          </x14:formula1>
          <xm:sqref>F11</xm:sqref>
        </x14:dataValidation>
        <x14:dataValidation type="list" allowBlank="1" showInputMessage="1" showErrorMessage="1" prompt="২০২৩-২৪ এর পূর্বের ক্ষেত্রে অধ্যাদেশের ৪৪(৫) উহ্য রেখে, জটিলতা এড়াতে কেবল 'সাধারণ' রিটার্নে 'বিলম্ব সুদ' আরোপ করা হল। ২০২৩-২৪ হতে স্বয়ংক্রিয়ভাবে ১৭৪ আরোপ হবে (প্রযোজ্য ক্ষেত্রে)। " xr:uid="{374D65B7-4ECD-4001-9DED-6206489E5BDD}">
          <x14:formula1>
            <xm:f>'MisC Intrst-3'!$N$32:$N$34</xm:f>
          </x14:formula1>
          <xm:sqref>D9</xm:sqref>
        </x14:dataValidation>
        <x14:dataValidation type="list" allowBlank="1" showInputMessage="1" showErrorMessage="1" xr:uid="{8B5B446B-8F93-4ADC-AB18-313ADB3B4CBC}">
          <x14:formula1>
            <xm:f>'MisC Cal-1'!$AA$43:$AA$49</xm:f>
          </x14:formula1>
          <xm:sqref>I11</xm:sqref>
        </x14:dataValidation>
        <x14:dataValidation type="list" allowBlank="1" showInputMessage="1" showErrorMessage="1" xr:uid="{41862D23-87CB-4B63-AE90-7D4F3105A462}">
          <x14:formula1>
            <xm:f>'MisC Cal-1'!$Z$43:$Z$46</xm:f>
          </x14:formula1>
          <xm:sqref>K11</xm:sqref>
        </x14:dataValidation>
        <x14:dataValidation type="list" allowBlank="1" showInputMessage="1" showErrorMessage="1" xr:uid="{C69F1F5B-9826-4668-8FE9-5971BF63A18D}">
          <x14:formula1>
            <xm:f>'MisC Cal-1'!$B$136:$B$138</xm:f>
          </x14:formula1>
          <xm:sqref>D35</xm:sqref>
        </x14:dataValidation>
        <x14:dataValidation type="list" allowBlank="1" showInputMessage="1" showErrorMessage="1" prompt="Refund/Adjustment of Tax._x000a_(এটি নিশ্চিত হয়ে প্রদান করা উচিত)।_x000a_যে বছরের রিফান্ড, সংশ্লিষ্ট করবষ বাছাই করুন ।" xr:uid="{FC5434C8-52A0-44E7-AEC8-A143793B7047}">
          <x14:formula1>
            <xm:f>'MisC Intrst-3'!$R$10:$R$18</xm:f>
          </x14:formula1>
          <xm:sqref>F47</xm:sqref>
        </x14:dataValidation>
        <x14:dataValidation type="list" allowBlank="1" showInputMessage="1" showErrorMessage="1" xr:uid="{963D7C2B-C1F3-49E6-AAED-119D09F0A39C}">
          <x14:formula1>
            <xm:f>'MisC Cal-1'!$B$121:$B$131</xm:f>
          </x14:formula1>
          <xm:sqref>D27 D28 D29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B0F0"/>
    <pageSetUpPr fitToPage="1"/>
  </sheetPr>
  <dimension ref="A1:F69"/>
  <sheetViews>
    <sheetView showGridLines="0" showRuler="0" view="pageLayout" topLeftCell="A10" zoomScaleNormal="100" workbookViewId="0">
      <selection activeCell="E17" sqref="E17"/>
    </sheetView>
  </sheetViews>
  <sheetFormatPr defaultColWidth="9.140625" defaultRowHeight="12.75"/>
  <cols>
    <col min="1" max="1" width="6.5703125" style="20" customWidth="1"/>
    <col min="2" max="2" width="30.140625" style="20" customWidth="1"/>
    <col min="3" max="3" width="13.7109375" style="20" customWidth="1"/>
    <col min="4" max="4" width="12.85546875" style="20" customWidth="1"/>
    <col min="5" max="5" width="17.42578125" style="20" customWidth="1"/>
    <col min="6" max="6" width="15.7109375" style="20" customWidth="1"/>
    <col min="7" max="7" width="4.140625" style="20" customWidth="1"/>
    <col min="8" max="16384" width="9.140625" style="20"/>
  </cols>
  <sheetData>
    <row r="1" spans="1:6" ht="16.5" customHeight="1">
      <c r="B1" s="1155" t="s">
        <v>157</v>
      </c>
      <c r="C1" s="1155"/>
      <c r="D1" s="1155"/>
      <c r="E1" s="1155"/>
      <c r="F1" s="1155"/>
    </row>
    <row r="2" spans="1:6" ht="15" customHeight="1">
      <c r="A2" s="308" t="s">
        <v>95</v>
      </c>
      <c r="B2" s="309" t="str">
        <f>'MisC Intrst-3'!L3</f>
        <v>2025-26</v>
      </c>
      <c r="C2" s="310"/>
      <c r="D2" s="310"/>
      <c r="E2" s="308" t="s">
        <v>754</v>
      </c>
      <c r="F2" s="311" t="str">
        <f>TEXT('Data Input'!F5,"dd/mm/yyyy")</f>
        <v>30/12/2026</v>
      </c>
    </row>
    <row r="3" spans="1:6" s="316" customFormat="1" ht="16.5">
      <c r="A3" s="308" t="s">
        <v>96</v>
      </c>
      <c r="B3" s="312" t="str">
        <f>"Rbve "&amp;'Data Input'!D6</f>
        <v>Rbve Rbve †gvt bvCg nvmvb</v>
      </c>
      <c r="C3" s="313"/>
      <c r="D3" s="314" t="str">
        <f>'Data Input'!F8</f>
        <v>Individual</v>
      </c>
      <c r="E3" s="308" t="s">
        <v>36</v>
      </c>
      <c r="F3" s="315" t="str">
        <f>'Data Input'!F4&amp;"/Ktmvt-"&amp;'Data Input'!K4</f>
        <v>387493583464/Ktmvt-16</v>
      </c>
    </row>
    <row r="4" spans="1:6" ht="15.75">
      <c r="A4" s="308" t="s">
        <v>97</v>
      </c>
      <c r="B4" s="1166" t="str">
        <f>'Data Input'!D7</f>
        <v xml:space="preserve"> </v>
      </c>
      <c r="C4" s="1166"/>
      <c r="D4" s="1166"/>
      <c r="E4" s="308" t="s">
        <v>37</v>
      </c>
      <c r="F4" s="299" t="str">
        <f>'Data Input'!D8</f>
        <v>পুরুষ</v>
      </c>
    </row>
    <row r="5" spans="1:6" ht="12.95" customHeight="1">
      <c r="B5" s="1157" t="s">
        <v>805</v>
      </c>
      <c r="C5" s="1157"/>
      <c r="D5" s="1158"/>
      <c r="E5" s="1158"/>
      <c r="F5" s="1048" t="s">
        <v>43</v>
      </c>
    </row>
    <row r="6" spans="1:6" ht="15" customHeight="1">
      <c r="B6" s="1161" t="s">
        <v>814</v>
      </c>
      <c r="C6" s="1162"/>
      <c r="D6" s="989" t="str">
        <f>'Data Input'!E14</f>
        <v>Av‡qi cwigvY</v>
      </c>
      <c r="E6" s="318" t="s">
        <v>133</v>
      </c>
      <c r="F6" s="318" t="s">
        <v>779</v>
      </c>
    </row>
    <row r="7" spans="1:6" ht="14.45" customHeight="1">
      <c r="B7" s="1047" t="str">
        <f>'Data Input'!D15</f>
        <v>মূল বেতন/মজুরি/পারিশ্রমিক ইত্যাদি</v>
      </c>
      <c r="C7" s="160"/>
      <c r="D7" s="161">
        <f>'MisC Cal-1'!I83</f>
        <v>1600000</v>
      </c>
      <c r="E7" s="319">
        <f>'MisC Cal-1'!J83</f>
        <v>0</v>
      </c>
      <c r="F7" s="162">
        <f>'MisC Cal-1'!K83</f>
        <v>1600000</v>
      </c>
    </row>
    <row r="8" spans="1:6" ht="14.45" customHeight="1">
      <c r="B8" s="1047" t="str">
        <f>'Data Input'!D16</f>
        <v>মোটরগাড়ি প্রতি সুবিধা</v>
      </c>
      <c r="C8" s="160"/>
      <c r="D8" s="161">
        <f>'MisC Cal-1'!I84</f>
        <v>0</v>
      </c>
      <c r="E8" s="319">
        <f>'MisC Cal-1'!J84</f>
        <v>0</v>
      </c>
      <c r="F8" s="162">
        <f>'MisC Cal-1'!K84</f>
        <v>0</v>
      </c>
    </row>
    <row r="9" spans="1:6" ht="14.45" customHeight="1">
      <c r="B9" s="1047" t="str">
        <f>'Data Input'!D17</f>
        <v>বাড়ি ভাড়া ভাতা</v>
      </c>
      <c r="C9" s="160"/>
      <c r="D9" s="161">
        <f>'MisC Cal-1'!I85</f>
        <v>0</v>
      </c>
      <c r="E9" s="319">
        <f>'MisC Cal-1'!J85</f>
        <v>0</v>
      </c>
      <c r="F9" s="162">
        <f>'MisC Cal-1'!K85</f>
        <v>0</v>
      </c>
    </row>
    <row r="10" spans="1:6" ht="14.45" customHeight="1">
      <c r="B10" s="1047" t="str">
        <f>'Data Input'!D18</f>
        <v>চিকিৎসা ভাতা/পারকুইজিট ইত্যাদি</v>
      </c>
      <c r="C10" s="160"/>
      <c r="D10" s="161">
        <f>'MisC Cal-1'!I86</f>
        <v>0</v>
      </c>
      <c r="E10" s="319">
        <f>'MisC Cal-1'!J86</f>
        <v>0</v>
      </c>
      <c r="F10" s="162">
        <f>'MisC Cal-1'!K86</f>
        <v>0</v>
      </c>
    </row>
    <row r="11" spans="1:6" ht="14.45" customHeight="1">
      <c r="B11" s="1047" t="str">
        <f>'Data Input'!D19</f>
        <v>উৎসব/উৎসাহ বোনাস/অন্যান্য ইত্যাদি</v>
      </c>
      <c r="C11" s="160"/>
      <c r="D11" s="161">
        <f>'MisC Cal-1'!I87</f>
        <v>0</v>
      </c>
      <c r="E11" s="319">
        <f>'MisC Cal-1'!J87</f>
        <v>0</v>
      </c>
      <c r="F11" s="162">
        <f>'MisC Cal-1'!K87</f>
        <v>0</v>
      </c>
    </row>
    <row r="12" spans="1:6" ht="14.45" customHeight="1">
      <c r="B12" s="1047" t="str">
        <f>'Data Input'!D20</f>
        <v>সম্পূর্ণ করযোগ্য ভাতা/ভাতা সমূহ</v>
      </c>
      <c r="C12" s="160"/>
      <c r="D12" s="161">
        <f>'MisC Cal-1'!I88</f>
        <v>0</v>
      </c>
      <c r="E12" s="319">
        <f>'MisC Cal-1'!J88</f>
        <v>0</v>
      </c>
      <c r="F12" s="162">
        <f>'MisC Cal-1'!K88</f>
        <v>0</v>
      </c>
    </row>
    <row r="13" spans="1:6" ht="14.45" customHeight="1">
      <c r="B13" s="1047" t="str">
        <f>'Data Input'!D21</f>
        <v>আনুতোষিক/অ্যানুইটি, পেনশন বা ইহাদের সম্পূরক (করমুক্ত)</v>
      </c>
      <c r="C13" s="160"/>
      <c r="D13" s="161">
        <f>'MisC Cal-1'!I89</f>
        <v>0</v>
      </c>
      <c r="E13" s="319">
        <f>'MisC Cal-1'!J89</f>
        <v>0</v>
      </c>
      <c r="F13" s="162">
        <f>'MisC Cal-1'!K89</f>
        <v>0</v>
      </c>
    </row>
    <row r="14" spans="1:6" ht="15" customHeight="1" thickBot="1">
      <c r="B14" s="1163" t="str">
        <f>'Data Input'!D22</f>
        <v xml:space="preserve"> †gvU Avq = </v>
      </c>
      <c r="C14" s="1164"/>
      <c r="D14" s="240">
        <f>'MisC Cal-1'!I94</f>
        <v>1600000</v>
      </c>
      <c r="E14" s="241">
        <f>'MisC Cal-1'!J94</f>
        <v>500000</v>
      </c>
      <c r="F14" s="242">
        <f>'MisC Cal-1'!K94</f>
        <v>1100000</v>
      </c>
    </row>
    <row r="15" spans="1:6" ht="6.75" customHeight="1" thickTop="1"/>
    <row r="16" spans="1:6" ht="15" customHeight="1">
      <c r="B16" s="27" t="str">
        <f>'Data Input'!D25</f>
        <v>LvZ wfwËK Avq</v>
      </c>
      <c r="C16" s="28"/>
      <c r="D16" s="39" t="s">
        <v>134</v>
      </c>
      <c r="E16" s="39" t="s">
        <v>33</v>
      </c>
      <c r="F16" s="39" t="s">
        <v>114</v>
      </c>
    </row>
    <row r="17" spans="2:6" ht="14.45" customHeight="1">
      <c r="B17" s="159" t="str">
        <f>'Data Input'!D26</f>
        <v xml:space="preserve">†emiKvwi PvKwi n‡Z Ki‡hvM¨ †gvU Avq </v>
      </c>
      <c r="C17" s="156"/>
      <c r="D17" s="30">
        <f>F14</f>
        <v>1100000</v>
      </c>
      <c r="E17" s="26">
        <f>IF(D17&lt;'Data Input'!F26,0,'Data Input'!F26)</f>
        <v>9000</v>
      </c>
      <c r="F17" s="992" t="s">
        <v>137</v>
      </c>
    </row>
    <row r="18" spans="2:6" ht="14.45" customHeight="1">
      <c r="B18" s="320" t="str">
        <f>'Data Input'!D27</f>
        <v>(সরকারি/সমমান) চাকরি হতে করযোগ্য আয়</v>
      </c>
      <c r="C18" s="156"/>
      <c r="D18" s="32">
        <f>'Data Input'!E27</f>
        <v>0</v>
      </c>
      <c r="E18" s="26">
        <f>'Data Input'!F27</f>
        <v>0</v>
      </c>
      <c r="F18" s="992" t="str">
        <f>_xlfn.XLOOKUP(B18,'MisC Cal-1'!B121:B131,'MisC Cal-1'!C121:C131,0,1)</f>
        <v>(32 avivi Avq)</v>
      </c>
    </row>
    <row r="19" spans="2:6" ht="14.45" customHeight="1">
      <c r="B19" s="321" t="str">
        <f>'Data Input'!D28</f>
        <v>পেশাগত আয়</v>
      </c>
      <c r="C19" s="29"/>
      <c r="D19" s="32">
        <f>'Data Input'!E28</f>
        <v>3862355</v>
      </c>
      <c r="E19" s="26">
        <f>IF(D19&lt;'Data Input'!F28,0,'Data Input'!F28)</f>
        <v>75000</v>
      </c>
      <c r="F19" s="992" t="str">
        <f>_xlfn.XLOOKUP(B19,'MisC Cal-1'!B121:B131,'MisC Cal-1'!C121:C131,0,1)</f>
        <v>(cÂg Aa¨v‡qi Avq)</v>
      </c>
    </row>
    <row r="20" spans="2:6" ht="14.45" customHeight="1">
      <c r="B20" s="321" t="str">
        <f>'Data Input'!D29</f>
        <v>মূলধনী আয় (নিয়মিত করদায়ভুক্ত)</v>
      </c>
      <c r="C20" s="31"/>
      <c r="D20" s="32">
        <f>'Data Input'!E29</f>
        <v>0</v>
      </c>
      <c r="E20" s="26">
        <f>IF(D20&lt;'Data Input'!F29,0,'Data Input'!F29)</f>
        <v>0</v>
      </c>
      <c r="F20" s="992" t="str">
        <f>_xlfn.XLOOKUP(B20,'MisC Cal-1'!B121:B131,'MisC Cal-1'!C121:C131,0,1)</f>
        <v>(58 avivi Avq)</v>
      </c>
    </row>
    <row r="21" spans="2:6" ht="14.45" customHeight="1">
      <c r="B21" s="321" t="str">
        <f>'Data Input'!D30</f>
        <v xml:space="preserve">অন্যান্য খাতের আয় </v>
      </c>
      <c r="C21" s="31"/>
      <c r="D21" s="32">
        <f>'Data Input'!E30</f>
        <v>0</v>
      </c>
      <c r="E21" s="26">
        <f>'Data Input'!F30</f>
        <v>0</v>
      </c>
      <c r="F21" s="992" t="str">
        <f>_xlfn.XLOOKUP(B21,'MisC Cal-1'!B121:B131,'MisC Cal-1'!C121:C131,0,1)</f>
        <v>(66 avivi Avq)</v>
      </c>
    </row>
    <row r="22" spans="2:6" ht="14.45" customHeight="1">
      <c r="B22" s="322" t="str">
        <f>'Data Input'!D31</f>
        <v>ব্যক্তিসংঘ/ফার্মের করারোপিত শেয়ার আয়</v>
      </c>
      <c r="C22" s="174" t="s">
        <v>596</v>
      </c>
      <c r="D22" s="32">
        <f>'Data Input'!E31</f>
        <v>500000</v>
      </c>
      <c r="E22" s="26">
        <f>'Data Input'!F31</f>
        <v>0</v>
      </c>
      <c r="F22" s="993" t="s">
        <v>584</v>
      </c>
    </row>
    <row r="23" spans="2:6" ht="14.45" customHeight="1">
      <c r="B23" s="320" t="str">
        <f>'Data Input'!D32</f>
        <v>৫৬/৭৬(৬) ধারায় নিয়মিত করদায়ভুক্ত আয়</v>
      </c>
      <c r="C23" s="73"/>
      <c r="D23" s="157">
        <f>'Data Input'!E32</f>
        <v>0</v>
      </c>
      <c r="E23" s="74">
        <f>'Data Input'!F32</f>
        <v>0</v>
      </c>
      <c r="F23" s="238" t="str">
        <f>'MisC Cal-1'!C134</f>
        <v>(55,56,76(6) aviq Avq)</v>
      </c>
    </row>
    <row r="24" spans="2:6" ht="15" customHeight="1" thickBot="1">
      <c r="B24" s="243" t="str">
        <f>'Data Input'!D33</f>
        <v>wbqwgZ Drm n‡Z ‡gvU Avq (163 avivi Avq e¨wZZ)</v>
      </c>
      <c r="C24" s="243"/>
      <c r="D24" s="244">
        <f>IF((SUM(D17:D23))&gt;1,SUM(D17:D23),1)</f>
        <v>5462355</v>
      </c>
      <c r="E24" s="244">
        <f>SUM(E17:E23)</f>
        <v>84000</v>
      </c>
      <c r="F24" s="187"/>
    </row>
    <row r="25" spans="2:6" ht="15" customHeight="1" thickTop="1">
      <c r="B25" s="322" t="str">
        <f>'Data Input'!D35</f>
        <v>আর্থিক পরিসম্পদ হতে ১৬৩ ধারার আয়</v>
      </c>
      <c r="C25" s="33"/>
      <c r="D25" s="75">
        <f>'Data Input'!E35</f>
        <v>1728142</v>
      </c>
      <c r="E25" s="76">
        <f>'Data Input'!F35</f>
        <v>180000</v>
      </c>
      <c r="F25" s="172" t="s">
        <v>34</v>
      </c>
    </row>
    <row r="26" spans="2:6" ht="15" customHeight="1">
      <c r="B26" s="245" t="str">
        <f>'Data Input'!D36</f>
        <v>‡gvU Avq (163 avivi b¨~bZg Ki`vqfz³ Avq mn)</v>
      </c>
      <c r="C26" s="245"/>
      <c r="D26" s="246">
        <f>SUM(D24:D25)</f>
        <v>7190497</v>
      </c>
      <c r="E26" s="168"/>
      <c r="F26" s="173"/>
    </row>
    <row r="27" spans="2:6" ht="15" customHeight="1" thickBot="1">
      <c r="B27" s="183" t="str">
        <f>'Data Input'!D37</f>
        <v>* 163 avivi P‚ovšÍ Ki`vq Avq (mÂqc‡Îi gybvdv, BZ¨vw`)</v>
      </c>
      <c r="C27" s="183"/>
      <c r="D27" s="184">
        <f>'Data Input'!E37</f>
        <v>0</v>
      </c>
      <c r="E27" s="184">
        <f>'Data Input'!F37</f>
        <v>0</v>
      </c>
      <c r="F27" s="185" t="s">
        <v>156</v>
      </c>
    </row>
    <row r="28" spans="2:6" ht="6" customHeight="1" thickTop="1">
      <c r="B28" s="317"/>
      <c r="C28" s="317"/>
      <c r="D28" s="317"/>
      <c r="E28" s="317"/>
      <c r="F28" s="317"/>
    </row>
    <row r="29" spans="2:6" s="324" customFormat="1" ht="15.4" customHeight="1">
      <c r="B29" s="1139" t="s">
        <v>35</v>
      </c>
      <c r="C29" s="1143"/>
      <c r="D29" s="1002" t="s">
        <v>28</v>
      </c>
      <c r="E29" s="323" t="s">
        <v>27</v>
      </c>
      <c r="F29" s="323" t="s">
        <v>38</v>
      </c>
    </row>
    <row r="30" spans="2:6" ht="14.1" customHeight="1">
      <c r="B30" s="1063"/>
      <c r="C30" s="1045">
        <f>D24</f>
        <v>5462355</v>
      </c>
      <c r="D30" s="1067">
        <f>'MisC Cal-1'!D67</f>
        <v>350000</v>
      </c>
      <c r="E30" s="1068">
        <f>'MisC Cal-1'!E67</f>
        <v>0</v>
      </c>
      <c r="F30" s="26">
        <f>MIN(C30:D30)*E30</f>
        <v>0</v>
      </c>
    </row>
    <row r="31" spans="2:6" ht="14.1" customHeight="1">
      <c r="B31" s="1063"/>
      <c r="C31" s="1045">
        <f t="shared" ref="C31:C36" si="0">IF(C30&gt;D30,(C30-D30),0)</f>
        <v>5112355</v>
      </c>
      <c r="D31" s="1067">
        <f>'MisC Cal-1'!D68</f>
        <v>100000</v>
      </c>
      <c r="E31" s="1068">
        <f>'MisC Cal-1'!E68</f>
        <v>0.05</v>
      </c>
      <c r="F31" s="26">
        <f>MIN(C31:D31)*E31</f>
        <v>5000</v>
      </c>
    </row>
    <row r="32" spans="2:6" ht="14.1" customHeight="1">
      <c r="B32" s="1063"/>
      <c r="C32" s="1045">
        <f t="shared" si="0"/>
        <v>5012355</v>
      </c>
      <c r="D32" s="1067">
        <f>'MisC Cal-1'!D69</f>
        <v>400000</v>
      </c>
      <c r="E32" s="1068">
        <f>'MisC Cal-1'!E69</f>
        <v>0.1</v>
      </c>
      <c r="F32" s="26">
        <f>MIN(C32:D32)*E32</f>
        <v>40000</v>
      </c>
    </row>
    <row r="33" spans="2:6" ht="14.1" customHeight="1">
      <c r="B33" s="1063"/>
      <c r="C33" s="1045">
        <f t="shared" si="0"/>
        <v>4612355</v>
      </c>
      <c r="D33" s="1067">
        <f>'MisC Cal-1'!D70</f>
        <v>500000</v>
      </c>
      <c r="E33" s="1068">
        <f>'MisC Cal-1'!E70</f>
        <v>0.15000000000000002</v>
      </c>
      <c r="F33" s="26">
        <f>MIN(C33:D33)*E33</f>
        <v>75000.000000000015</v>
      </c>
    </row>
    <row r="34" spans="2:6" ht="14.1" customHeight="1">
      <c r="B34" s="1063"/>
      <c r="C34" s="1045">
        <f t="shared" si="0"/>
        <v>4112355</v>
      </c>
      <c r="D34" s="1067">
        <f>'MisC Cal-1'!D71</f>
        <v>500000</v>
      </c>
      <c r="E34" s="1068">
        <f>'MisC Cal-1'!E71</f>
        <v>0.2</v>
      </c>
      <c r="F34" s="26">
        <f>MIN(C34:D34)*E34</f>
        <v>100000</v>
      </c>
    </row>
    <row r="35" spans="2:6" ht="14.1" customHeight="1">
      <c r="B35" s="1063"/>
      <c r="C35" s="1045">
        <f t="shared" si="0"/>
        <v>3612355</v>
      </c>
      <c r="D35" s="1069">
        <f>'MisC Cal-1'!D72</f>
        <v>2000000</v>
      </c>
      <c r="E35" s="1070">
        <f>'MisC Cal-1'!E72</f>
        <v>0.25</v>
      </c>
      <c r="F35" s="26">
        <f>_xlfn.XLOOKUP('MisC Intrst-3'!L3,'MisC Intrst-3'!R10:R23,'MisC Intrst-3'!AQ10:AQ23,0)</f>
        <v>500000</v>
      </c>
    </row>
    <row r="36" spans="2:6" ht="14.1" customHeight="1" thickBot="1">
      <c r="B36" s="1064"/>
      <c r="C36" s="1065">
        <f t="shared" si="0"/>
        <v>1612355</v>
      </c>
      <c r="D36" s="1072" t="str">
        <f>'MisC Cal-1'!D73</f>
        <v xml:space="preserve"> Aewkó </v>
      </c>
      <c r="E36" s="1071">
        <f>'MisC Cal-1'!E73</f>
        <v>0.3</v>
      </c>
      <c r="F36" s="1066">
        <f>IF(C36&gt;0,(C36*E36),0)</f>
        <v>483706.5</v>
      </c>
    </row>
    <row r="37" spans="2:6" ht="15" customHeight="1" thickTop="1">
      <c r="B37" s="325"/>
      <c r="C37" s="186">
        <f>'MisC Cal-1'!K5</f>
        <v>0</v>
      </c>
      <c r="D37" s="1159" t="s">
        <v>297</v>
      </c>
      <c r="E37" s="1160"/>
      <c r="F37" s="247">
        <f>'MisC Cal-1'!L8</f>
        <v>1203706.5</v>
      </c>
    </row>
    <row r="38" spans="2:6" ht="15" customHeight="1">
      <c r="B38" s="1165" t="s">
        <v>140</v>
      </c>
      <c r="C38" s="1165"/>
      <c r="D38" s="1165"/>
      <c r="E38" s="1165"/>
      <c r="F38" s="34">
        <f>'MisC Cal-1'!F18</f>
        <v>518442.60000000009</v>
      </c>
    </row>
    <row r="39" spans="2:6" ht="15" customHeight="1">
      <c r="B39" s="1156" t="s">
        <v>522</v>
      </c>
      <c r="C39" s="1156"/>
      <c r="D39" s="1156"/>
      <c r="E39" s="1156"/>
      <c r="F39" s="35">
        <f>'MisC Cal-1'!F19</f>
        <v>0</v>
      </c>
    </row>
    <row r="40" spans="2:6" ht="16.5">
      <c r="B40" s="1150" t="s">
        <v>299</v>
      </c>
      <c r="C40" s="1150"/>
      <c r="D40" s="1150"/>
      <c r="E40" s="1150"/>
      <c r="F40" s="248">
        <f>F37+F38+F39</f>
        <v>1722149.1</v>
      </c>
    </row>
    <row r="41" spans="2:6" ht="16.5">
      <c r="B41" s="1153" t="str">
        <f>'MisC Cal-2'!C76</f>
        <v>*(e¨w³msN/dv‡g©i Av‡qi Rb¨ Ki Ae¨vnwZ = 110183/-)</v>
      </c>
      <c r="C41" s="1154"/>
      <c r="D41" s="1154"/>
      <c r="E41" s="326" t="s">
        <v>40</v>
      </c>
      <c r="F41" s="34">
        <f>F58</f>
        <v>258717.25940803008</v>
      </c>
    </row>
    <row r="42" spans="2:6" ht="16.5">
      <c r="B42" s="1151" t="s">
        <v>300</v>
      </c>
      <c r="C42" s="1152"/>
      <c r="D42" s="327" t="s">
        <v>252</v>
      </c>
      <c r="E42" s="328" t="str">
        <f>"( "&amp;'Data Input'!I6&amp;"/- UvKv )"</f>
        <v>( 4000/- UvKv )</v>
      </c>
      <c r="F42" s="36">
        <f>'MisC Cal-1'!E35</f>
        <v>1463431.8405919699</v>
      </c>
    </row>
    <row r="43" spans="2:6" ht="15.75" customHeight="1">
      <c r="B43" s="1146" t="s">
        <v>41</v>
      </c>
      <c r="C43" s="1146"/>
      <c r="D43" s="1146"/>
      <c r="E43" s="1146"/>
      <c r="F43" s="110">
        <f>'MisC Cal-2'!D10</f>
        <v>0</v>
      </c>
    </row>
    <row r="44" spans="2:6" ht="16.5" customHeight="1" thickBot="1">
      <c r="B44" s="1147" t="str">
        <f>'MisC Intrst-3'!T32&amp;" ‡gvU AvqKi "</f>
        <v xml:space="preserve">  ‡gvU AvqKi </v>
      </c>
      <c r="C44" s="1148"/>
      <c r="D44" s="1148"/>
      <c r="E44" s="1149"/>
      <c r="F44" s="249">
        <f>F42+F43</f>
        <v>1463431.8405919699</v>
      </c>
    </row>
    <row r="45" spans="2:6" ht="6" customHeight="1" thickTop="1">
      <c r="B45" s="153"/>
      <c r="C45" s="153"/>
      <c r="D45" s="153"/>
      <c r="E45" s="153"/>
      <c r="F45" s="175"/>
    </row>
    <row r="46" spans="2:6" ht="16.5" customHeight="1">
      <c r="B46" s="1139" t="s">
        <v>631</v>
      </c>
      <c r="C46" s="1140"/>
      <c r="D46" s="1141" t="s">
        <v>630</v>
      </c>
      <c r="E46" s="1142"/>
      <c r="F46" s="1143"/>
    </row>
    <row r="47" spans="2:6" ht="14.45" customHeight="1">
      <c r="B47" s="177" t="s">
        <v>629</v>
      </c>
      <c r="C47" s="239">
        <f>'MisC Cal-1'!O15+'MisC Cal-1'!O16</f>
        <v>264000</v>
      </c>
      <c r="D47" s="1135" t="s">
        <v>735</v>
      </c>
      <c r="E47" s="1136"/>
      <c r="F47" s="165">
        <f>'MisC Intrst-3'!D18</f>
        <v>53835.201776246482</v>
      </c>
    </row>
    <row r="48" spans="2:6" ht="14.45" customHeight="1">
      <c r="B48" s="177" t="str">
        <f>'Data Input'!D44</f>
        <v>152/154 avivq AwMÖg AvqKi</v>
      </c>
      <c r="C48" s="239">
        <f>'Data Input'!E44</f>
        <v>400000</v>
      </c>
      <c r="D48" s="1135" t="str">
        <f>'MisC Intrst-3'!T32&amp;" wej¤^ my`"</f>
        <v xml:space="preserve">  wej¤^ my`</v>
      </c>
      <c r="E48" s="1136"/>
      <c r="F48" s="165">
        <f>'MisC Intrst-3'!L43</f>
        <v>0</v>
      </c>
    </row>
    <row r="49" spans="2:6" ht="14.45" customHeight="1">
      <c r="B49" s="177" t="str">
        <f>'Data Input'!D45</f>
        <v>153 avivq Mvwoi AwMÖg AvqKi</v>
      </c>
      <c r="C49" s="239">
        <f>'Data Input'!E45</f>
        <v>75000</v>
      </c>
      <c r="D49" s="1135" t="s">
        <v>503</v>
      </c>
      <c r="E49" s="1136"/>
      <c r="F49" s="329">
        <f>'MisC Cal-2'!D11</f>
        <v>0</v>
      </c>
    </row>
    <row r="50" spans="2:6" ht="14.45" customHeight="1">
      <c r="B50" s="177" t="str">
        <f>'Data Input'!D46</f>
        <v>wiUv‡b©i mv‡_ 173 avivq cÖ`Ë AvqKi</v>
      </c>
      <c r="C50" s="239">
        <f>'Data Input'!E46</f>
        <v>0</v>
      </c>
      <c r="D50" s="1137" t="s">
        <v>736</v>
      </c>
      <c r="E50" s="1138"/>
      <c r="F50" s="165">
        <f>'Data Input'!I35+'Data Input'!K35</f>
        <v>0</v>
      </c>
    </row>
    <row r="51" spans="2:6" ht="15" customHeight="1" thickBot="1">
      <c r="B51" s="330" t="s">
        <v>67</v>
      </c>
      <c r="C51" s="250">
        <f>'MisC Cal-1'!L23</f>
        <v>724431.8405919699</v>
      </c>
      <c r="D51" s="982" t="str">
        <f>IF(F51&gt;0,"("&amp;'Data Input'!F47&amp;" Kie‡l©i)",0)</f>
        <v>(2022-23 Kie‡l©i)</v>
      </c>
      <c r="E51" s="180" t="s">
        <v>737</v>
      </c>
      <c r="F51" s="181">
        <f>'Data Input'!E47</f>
        <v>180000</v>
      </c>
    </row>
    <row r="52" spans="2:6" ht="15.75" customHeight="1" thickTop="1" thickBot="1">
      <c r="B52" s="273" t="str">
        <f>"K_vqt "&amp;'Data Input'!I37</f>
        <v>K_vqt (c‡bi j¶ ... nvRvi Ewbk UvKv gvÎ )</v>
      </c>
      <c r="C52" s="331"/>
      <c r="D52" s="332"/>
      <c r="E52" s="333" t="s">
        <v>30</v>
      </c>
      <c r="F52" s="250">
        <f>C51+(F47+F48+F49+F50)-F51</f>
        <v>598267.04236821644</v>
      </c>
    </row>
    <row r="53" spans="2:6" ht="5.65" customHeight="1" thickTop="1">
      <c r="B53" s="317"/>
      <c r="C53" s="317"/>
      <c r="D53" s="317"/>
      <c r="E53" s="317"/>
      <c r="F53" s="317"/>
    </row>
    <row r="54" spans="2:6" ht="12.75" customHeight="1">
      <c r="B54" s="334" t="str">
        <f>TEXT('MisC Intrst-3'!N4,"dd/mm/yyyy")&amp;" wLªt Zvwi‡L Ki`vZvi bxU m¤c`"</f>
        <v>30/06/2025 wLªt Zvwi‡L Ki`vZvi bxU m¤c`</v>
      </c>
      <c r="C54" s="335" t="str">
        <f>'MisC Cal-2'!D6</f>
        <v>&lt;= ৪ কোটি</v>
      </c>
      <c r="E54" s="334" t="s">
        <v>46</v>
      </c>
      <c r="F54" s="336">
        <f>'MisC Intrst-3'!L4</f>
        <v>45962</v>
      </c>
    </row>
    <row r="55" spans="2:6" ht="4.5" customHeight="1">
      <c r="B55" s="334"/>
      <c r="C55" s="337"/>
      <c r="E55" s="334"/>
      <c r="F55" s="338"/>
    </row>
    <row r="56" spans="2:6" ht="12" customHeight="1">
      <c r="B56" s="1145" t="s">
        <v>31</v>
      </c>
      <c r="C56" s="1145"/>
      <c r="D56" s="176"/>
      <c r="E56" s="334" t="str">
        <f>'MisC Cal-2'!C66</f>
        <v>Aby‡gvw`Z wewb‡qvM I e¨q = 148535.25/-</v>
      </c>
      <c r="F56" s="988">
        <f>'MisC Cal-2'!D67</f>
        <v>148535.25</v>
      </c>
    </row>
    <row r="57" spans="2:6" ht="13.35" customHeight="1">
      <c r="B57" s="339" t="str">
        <f>'MisC Cal-2'!C61</f>
        <v>wbqwgZ ‡gvU Avq (163 Avq e¨wZZ)</v>
      </c>
      <c r="C57" s="340">
        <f>'MisC Cal-2'!D61</f>
        <v>12152852</v>
      </c>
      <c r="D57" s="176"/>
      <c r="E57" s="341" t="str">
        <f>'MisC Cal-2'!C68</f>
        <v>e¨w³msN/dv‡g©i Av‡qi Rb¨ Ki Ae¨vnwZ</v>
      </c>
      <c r="F57" s="179">
        <f>'MisC Cal-2'!D68</f>
        <v>110182.00940803006</v>
      </c>
    </row>
    <row r="58" spans="2:6" ht="13.35" customHeight="1" thickBot="1">
      <c r="B58" s="342" t="str">
        <f>'MisC Cal-2'!C62</f>
        <v>wbqwgZ ‡gvU Av‡qi 3%</v>
      </c>
      <c r="C58" s="343">
        <f>'MisC Cal-2'!D62</f>
        <v>364585.56</v>
      </c>
      <c r="D58" s="176"/>
      <c r="E58" s="178" t="s">
        <v>29</v>
      </c>
      <c r="F58" s="182">
        <f>'MisC Cal-2'!D69</f>
        <v>258717.25940803008</v>
      </c>
    </row>
    <row r="59" spans="2:6" ht="13.35" customHeight="1" thickTop="1">
      <c r="B59" s="342" t="str">
        <f>'MisC Cal-2'!C63</f>
        <v>ev, †iqvZ‡hvM¨ (wewb‡qvM I e¨‡qi) 15%</v>
      </c>
      <c r="C59" s="343">
        <f>'MisC Cal-2'!D63</f>
        <v>148535.25</v>
      </c>
      <c r="D59" s="176"/>
    </row>
    <row r="60" spans="2:6" ht="13.35" customHeight="1">
      <c r="B60" s="342" t="str">
        <f>'MisC Cal-2'!C64</f>
        <v>ev,  10 j¶ UvKv</v>
      </c>
      <c r="C60" s="343">
        <f>'MisC Cal-2'!D64</f>
        <v>1000000</v>
      </c>
      <c r="D60" s="258" t="s">
        <v>270</v>
      </c>
      <c r="E60" s="1144" t="s">
        <v>163</v>
      </c>
      <c r="F60" s="1144"/>
    </row>
    <row r="61" spans="2:6" ht="15" customHeight="1">
      <c r="D61" s="37"/>
    </row>
    <row r="62" spans="2:6" ht="15" customHeight="1"/>
    <row r="63" spans="2:6" ht="15.75">
      <c r="C63" s="41"/>
      <c r="D63" s="41"/>
    </row>
    <row r="64" spans="2:6" ht="15.75">
      <c r="B64" s="37"/>
      <c r="C64" s="42"/>
      <c r="D64" s="43"/>
    </row>
    <row r="65" spans="2:4" ht="15.75">
      <c r="B65" s="37"/>
      <c r="C65" s="43"/>
      <c r="D65" s="43"/>
    </row>
    <row r="66" spans="2:4" ht="15.75">
      <c r="B66" s="37"/>
      <c r="C66" s="43"/>
      <c r="D66" s="43"/>
    </row>
    <row r="67" spans="2:4" ht="15.75">
      <c r="B67" s="37"/>
      <c r="C67" s="44"/>
      <c r="D67" s="43"/>
    </row>
    <row r="68" spans="2:4" ht="15.75">
      <c r="B68" s="40"/>
      <c r="C68" s="45"/>
      <c r="D68" s="45"/>
    </row>
    <row r="69" spans="2:4" ht="15.75">
      <c r="B69" s="37"/>
      <c r="C69" s="43"/>
      <c r="D69" s="43"/>
    </row>
  </sheetData>
  <sheetProtection algorithmName="SHA-512" hashValue="xb8XZyUmYjAjIAbjqxmVIHzO4et6i+1LFt6RF+KUpRzAa/RXjCEn7TOASPxBIq9NO7yy476NU4Jsugp/bYJzhw==" saltValue="1f7cBHC9s9jPXm0Wyj3p4w==" spinCount="100000" sheet="1" objects="1" scenarios="1"/>
  <mergeCells count="22">
    <mergeCell ref="B1:F1"/>
    <mergeCell ref="B39:E39"/>
    <mergeCell ref="B29:C29"/>
    <mergeCell ref="B5:E5"/>
    <mergeCell ref="D37:E37"/>
    <mergeCell ref="B6:C6"/>
    <mergeCell ref="B14:C14"/>
    <mergeCell ref="B38:E38"/>
    <mergeCell ref="B4:D4"/>
    <mergeCell ref="B43:E43"/>
    <mergeCell ref="B44:E44"/>
    <mergeCell ref="B40:E40"/>
    <mergeCell ref="D47:E47"/>
    <mergeCell ref="B42:C42"/>
    <mergeCell ref="B41:D41"/>
    <mergeCell ref="D49:E49"/>
    <mergeCell ref="D50:E50"/>
    <mergeCell ref="B46:C46"/>
    <mergeCell ref="D46:F46"/>
    <mergeCell ref="E60:F60"/>
    <mergeCell ref="B56:C56"/>
    <mergeCell ref="D48:E48"/>
  </mergeCells>
  <phoneticPr fontId="2" type="noConversion"/>
  <printOptions horizontalCentered="1" verticalCentered="1"/>
  <pageMargins left="0.25" right="0.25" top="0.25" bottom="0.25" header="0.25" footer="0.25"/>
  <pageSetup paperSize="9" scale="9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394AA1D-09FC-4A97-900E-EEF81E998917}">
            <xm:f>'MisC Cal-1'!$E$162=FALSE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A1:G3 A4:B4 E4:G4 A5:G29 A30:A36 C30:G36 A37:G60</xm:sqref>
        </x14:conditionalFormatting>
        <x14:conditionalFormatting xmlns:xm="http://schemas.microsoft.com/office/excel/2006/main">
          <x14:cfRule type="expression" priority="3" stopIfTrue="1" id="{9E8430E4-A469-4EF6-8E79-EE2538FB5A6F}">
            <xm:f>'Data Input'!$F$11="বেতন অপ্রযোজ্য"</xm:f>
            <x14:dxf>
              <font>
                <color theme="0" tint="-0.14996795556505021"/>
              </font>
              <fill>
                <patternFill patternType="gray0625"/>
              </fill>
            </x14:dxf>
          </x14:cfRule>
          <xm:sqref>B7:F13 D17:F17</xm:sqref>
        </x14:conditionalFormatting>
        <x14:conditionalFormatting xmlns:xm="http://schemas.microsoft.com/office/excel/2006/main">
          <x14:cfRule type="expression" priority="2" stopIfTrue="1" id="{FD4AF309-2773-42FA-91C8-4132CB9774D7}">
            <xm:f>'MisC Cal-1'!$D$87="OLD 174"</xm:f>
            <x14:dxf>
              <font>
                <color theme="0"/>
              </font>
              <fill>
                <patternFill patternType="gray0625"/>
              </fill>
            </x14:dxf>
          </x14:cfRule>
          <x14:cfRule type="expression" priority="4" stopIfTrue="1" id="{2FA891B0-762C-4E7A-94C0-F8E3034DD4C5}">
            <xm:f>'MisC Cal-1'!$D$86="No"</xm:f>
            <x14:dxf>
              <font>
                <color theme="0"/>
              </font>
              <fill>
                <patternFill patternType="gray0625"/>
              </fill>
            </x14:dxf>
          </x14:cfRule>
          <xm:sqref>E7:F13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DFDF-0C24-42EE-9DF4-E33F5DF08EC3}">
  <sheetPr codeName="Sheet2">
    <tabColor rgb="FF00B0F0"/>
  </sheetPr>
  <dimension ref="A1:V54"/>
  <sheetViews>
    <sheetView showGridLines="0" showRowColHeaders="0" showRuler="0" view="pageLayout" zoomScaleNormal="100" workbookViewId="0">
      <selection activeCell="B14" sqref="B14:I15"/>
    </sheetView>
  </sheetViews>
  <sheetFormatPr defaultColWidth="9" defaultRowHeight="12.75"/>
  <cols>
    <col min="1" max="1" width="12.42578125" customWidth="1"/>
    <col min="2" max="2" width="10" bestFit="1" customWidth="1"/>
    <col min="6" max="6" width="10" customWidth="1"/>
    <col min="7" max="7" width="7.7109375" customWidth="1"/>
    <col min="8" max="8" width="11.85546875" customWidth="1"/>
    <col min="9" max="9" width="7.28515625" customWidth="1"/>
    <col min="10" max="10" width="12" customWidth="1"/>
    <col min="11" max="11" width="9.140625" customWidth="1"/>
    <col min="12" max="12" width="26.5703125" customWidth="1"/>
    <col min="13" max="13" width="18.5703125" customWidth="1"/>
    <col min="14" max="14" width="5.42578125" customWidth="1"/>
    <col min="15" max="15" width="16.140625" customWidth="1"/>
    <col min="16" max="16" width="6.140625" bestFit="1" customWidth="1"/>
    <col min="17" max="17" width="12.85546875" customWidth="1"/>
    <col min="18" max="18" width="17.42578125" customWidth="1"/>
    <col min="19" max="19" width="15.140625" customWidth="1"/>
    <col min="20" max="20" width="14" customWidth="1"/>
    <col min="21" max="21" width="13" customWidth="1"/>
    <col min="22" max="22" width="3.85546875" customWidth="1"/>
    <col min="23" max="23" width="13.5703125" customWidth="1"/>
  </cols>
  <sheetData>
    <row r="1" spans="1:22" ht="9.75" customHeight="1">
      <c r="P1" s="20"/>
      <c r="Q1" s="20"/>
      <c r="R1" s="20"/>
      <c r="S1" s="20"/>
      <c r="T1" s="20"/>
      <c r="U1" s="20"/>
      <c r="V1" s="20"/>
    </row>
    <row r="2" spans="1:22" ht="10.5" customHeight="1">
      <c r="P2" s="20"/>
      <c r="Q2" s="20"/>
      <c r="R2" s="20"/>
      <c r="S2" s="20"/>
      <c r="T2" s="20"/>
      <c r="U2" s="20"/>
      <c r="V2" s="20"/>
    </row>
    <row r="3" spans="1:22" ht="17.25" customHeight="1">
      <c r="E3" s="276" t="str">
        <f>'MisC Cal-1'!G143</f>
        <v>MYcÖRvZš¿x evsjv‡`k miKvi</v>
      </c>
      <c r="J3" s="1178" t="s">
        <v>180</v>
      </c>
      <c r="K3" s="1178"/>
      <c r="L3" s="54"/>
      <c r="M3" s="54"/>
      <c r="N3" s="54"/>
      <c r="O3" s="58" t="s">
        <v>171</v>
      </c>
      <c r="P3" s="20"/>
      <c r="Q3" s="20"/>
      <c r="R3" s="20"/>
      <c r="S3" s="20"/>
      <c r="T3" s="20"/>
      <c r="U3" s="20"/>
      <c r="V3" s="20"/>
    </row>
    <row r="4" spans="1:22" ht="15" customHeight="1">
      <c r="D4" s="24"/>
      <c r="E4" s="277" t="str">
        <f>'MisC Cal-1'!G144</f>
        <v>DcKi Kwgkbv‡ii Kvh©vjq</v>
      </c>
      <c r="F4" s="24"/>
      <c r="J4" s="1178"/>
      <c r="K4" s="1178"/>
      <c r="P4" s="20"/>
      <c r="Q4" s="20"/>
      <c r="R4" s="20"/>
      <c r="S4" s="20"/>
      <c r="T4" s="20"/>
      <c r="U4" s="20"/>
      <c r="V4" s="20"/>
    </row>
    <row r="5" spans="1:22" ht="15.75" customHeight="1">
      <c r="D5" s="24"/>
      <c r="E5" s="72" t="str">
        <f>'MisC Cal-1'!G145</f>
        <v>কর সার্কেল-16, কর অঞ্চল-খুলনা</v>
      </c>
      <c r="F5" s="24"/>
      <c r="P5" s="20"/>
      <c r="Q5" s="20"/>
      <c r="R5" s="20"/>
      <c r="S5" s="20"/>
      <c r="T5" s="20"/>
      <c r="U5" s="20"/>
      <c r="V5" s="20"/>
    </row>
    <row r="6" spans="1:22" ht="19.5" customHeight="1">
      <c r="D6" s="24"/>
      <c r="E6" s="278" t="str">
        <f>'MisC Cal-1'!G146</f>
        <v>50/1, wfAvBwc †ivW, bqvcëb, XvKv|</v>
      </c>
      <c r="F6" s="24"/>
      <c r="J6" s="1179" t="s">
        <v>172</v>
      </c>
      <c r="K6" s="1179"/>
      <c r="L6" s="1179"/>
      <c r="M6" s="1179"/>
      <c r="N6" s="1179"/>
      <c r="O6" s="1179"/>
      <c r="P6" s="20"/>
      <c r="Q6" s="20"/>
      <c r="R6" s="20"/>
      <c r="S6" s="20"/>
      <c r="T6" s="20"/>
      <c r="U6" s="20"/>
      <c r="V6" s="20"/>
    </row>
    <row r="7" spans="1:22" ht="11.25" customHeight="1">
      <c r="P7" s="20"/>
      <c r="Q7" s="20"/>
      <c r="R7" s="20"/>
      <c r="S7" s="20"/>
      <c r="T7" s="20"/>
      <c r="U7" s="20"/>
      <c r="V7" s="20"/>
    </row>
    <row r="8" spans="1:22" ht="18" customHeight="1">
      <c r="A8" s="279" t="s">
        <v>103</v>
      </c>
      <c r="B8" s="279" t="str">
        <f>"witcÖt/"&amp;'Sheet of Calculation'!F3&amp;"/"&amp;'Data Input'!K25&amp;"/"</f>
        <v>witcÖt/387493583464/Ktmvt-16/0/</v>
      </c>
      <c r="C8" s="280"/>
      <c r="D8" s="280"/>
      <c r="E8" s="280"/>
      <c r="F8" s="280"/>
      <c r="G8" s="281" t="s">
        <v>107</v>
      </c>
      <c r="H8" s="282" t="str">
        <f>TEXT('Data Input'!F5,"dd/mm/yyyy")</f>
        <v>30/12/2026</v>
      </c>
      <c r="I8" s="25" t="s">
        <v>108</v>
      </c>
      <c r="J8" s="60" t="s">
        <v>178</v>
      </c>
      <c r="K8" s="61" t="str">
        <f>"wWt‡bvt/"&amp;'Data Input'!F4&amp;"/mv-"&amp;'Data Input'!K4&amp;"/"&amp;'Data Input'!K25&amp;"/"</f>
        <v>wWt‡bvt/387493583464/mv-16/0/</v>
      </c>
      <c r="L8" s="46"/>
      <c r="M8" s="46"/>
      <c r="N8" s="63" t="s">
        <v>173</v>
      </c>
      <c r="O8" s="67" t="str">
        <f>TEXT('Data Input'!F5,"dd/mm/yyyy")</f>
        <v>30/12/2026</v>
      </c>
      <c r="P8" s="20"/>
      <c r="Q8" s="20"/>
      <c r="R8" s="20"/>
      <c r="S8" s="20"/>
      <c r="T8" s="20"/>
      <c r="U8" s="20"/>
      <c r="V8" s="20"/>
    </row>
    <row r="9" spans="1:22" ht="17.25" customHeight="1">
      <c r="A9" s="283" t="s">
        <v>104</v>
      </c>
      <c r="B9" s="284" t="str">
        <f>'Data Input'!D6</f>
        <v>Rbve †gvt bvCg nvmvb</v>
      </c>
      <c r="C9" s="280"/>
      <c r="D9" s="280"/>
      <c r="E9" s="280"/>
      <c r="F9" s="280"/>
      <c r="G9" s="280"/>
      <c r="H9" s="280"/>
      <c r="I9" s="280"/>
      <c r="J9" s="61" t="s">
        <v>174</v>
      </c>
      <c r="K9" s="46"/>
      <c r="L9" s="46"/>
      <c r="M9" s="46"/>
      <c r="N9" s="46"/>
      <c r="O9" s="46"/>
      <c r="P9" s="20"/>
      <c r="Q9" s="20"/>
      <c r="R9" s="20"/>
      <c r="S9" s="20"/>
      <c r="T9" s="20"/>
      <c r="U9" s="20"/>
      <c r="V9" s="20"/>
    </row>
    <row r="10" spans="1:22" ht="14.45" customHeight="1">
      <c r="A10" s="283" t="s">
        <v>105</v>
      </c>
      <c r="B10" s="285" t="str">
        <f>'Data Input'!F4&amp;"/Ktmvt-"&amp;'Data Input'!K4</f>
        <v>387493583464/Ktmvt-16</v>
      </c>
      <c r="C10" s="286"/>
      <c r="D10" s="286"/>
      <c r="E10" s="286"/>
      <c r="F10" s="286"/>
      <c r="G10" s="280"/>
      <c r="H10" s="280"/>
      <c r="I10" s="280"/>
      <c r="P10" s="20"/>
      <c r="Q10" s="20"/>
      <c r="R10" s="20"/>
      <c r="S10" s="20"/>
      <c r="T10" s="20"/>
      <c r="U10" s="20"/>
      <c r="V10" s="20"/>
    </row>
    <row r="11" spans="1:22" ht="15.75" customHeight="1">
      <c r="A11" s="283" t="s">
        <v>359</v>
      </c>
      <c r="B11" s="287" t="str">
        <f>'Data Input'!D4</f>
        <v>2025-26</v>
      </c>
      <c r="C11" s="286"/>
      <c r="D11" s="286"/>
      <c r="E11" s="286"/>
      <c r="F11" s="286"/>
      <c r="G11" s="280"/>
      <c r="H11" s="280"/>
      <c r="I11" s="280"/>
      <c r="J11" s="61" t="s">
        <v>177</v>
      </c>
      <c r="K11" s="284" t="str">
        <f>'Data Input'!D6</f>
        <v>Rbve †gvt bvCg nvmvb</v>
      </c>
      <c r="L11" s="55"/>
      <c r="M11" s="50"/>
      <c r="N11" s="212"/>
      <c r="O11" s="212"/>
      <c r="P11" s="20"/>
      <c r="Q11" s="20"/>
      <c r="R11" s="20"/>
      <c r="S11" s="20"/>
      <c r="T11" s="20"/>
      <c r="U11" s="20"/>
      <c r="V11" s="20"/>
    </row>
    <row r="12" spans="1:22" ht="18.75" customHeight="1">
      <c r="A12" s="283" t="s">
        <v>106</v>
      </c>
      <c r="B12" s="1176" t="str">
        <f>'Data Input'!D7</f>
        <v xml:space="preserve"> </v>
      </c>
      <c r="C12" s="1176"/>
      <c r="D12" s="1176"/>
      <c r="E12" s="1176"/>
      <c r="F12" s="1176"/>
      <c r="G12" s="1176"/>
      <c r="H12" s="1176"/>
      <c r="I12" s="1176"/>
      <c r="J12" s="62" t="s">
        <v>97</v>
      </c>
      <c r="K12" s="1180" t="str">
        <f>'Data Input'!D7</f>
        <v xml:space="preserve"> </v>
      </c>
      <c r="L12" s="1180"/>
      <c r="M12" s="1180"/>
      <c r="N12" s="1180"/>
      <c r="O12" s="1180"/>
      <c r="P12" s="20"/>
      <c r="Q12" s="20"/>
      <c r="R12" s="20"/>
      <c r="S12" s="20"/>
      <c r="T12" s="20"/>
      <c r="U12" s="20"/>
      <c r="V12" s="20"/>
    </row>
    <row r="13" spans="1:22" ht="13.5" customHeight="1">
      <c r="A13" s="280"/>
      <c r="B13" s="1176"/>
      <c r="C13" s="1176"/>
      <c r="D13" s="1176"/>
      <c r="E13" s="1176"/>
      <c r="F13" s="1176"/>
      <c r="G13" s="1176"/>
      <c r="H13" s="1176"/>
      <c r="I13" s="1176"/>
      <c r="K13" s="1180"/>
      <c r="L13" s="1180"/>
      <c r="M13" s="1180"/>
      <c r="N13" s="1180"/>
      <c r="O13" s="1180"/>
      <c r="P13" s="20"/>
      <c r="Q13" s="20"/>
      <c r="R13" s="20"/>
      <c r="S13" s="20"/>
      <c r="T13" s="20"/>
      <c r="U13" s="20"/>
      <c r="V13" s="20"/>
    </row>
    <row r="14" spans="1:22" ht="19.5">
      <c r="A14" s="288" t="s">
        <v>109</v>
      </c>
      <c r="B14" s="1177" t="str">
        <f>"Ki`vZv KZ©…K AvqKi AvBb, 2023 Gi 180(1) avivbymv‡i `vwLjK…Z "&amp;'Data Input'!D4&amp;" Kie‡l©i ¯^wba©viYx wiUvb©wU, AvqKi AvBb, 2023 Gi  181(1) avivq cÖwµqvKiYc~e©K 181(2) avivq AewnZKiY|"</f>
        <v>Ki`vZv KZ©…K AvqKi AvBb, 2023 Gi 180(1) avivbymv‡i `vwLjK…Z 2025-26 Kie‡l©i ¯^wba©viYx wiUvb©wU, AvqKi AvBb, 2023 Gi  181(1) avivq cÖwµqvKiYc~e©K 181(2) avivq AewnZKiY|</v>
      </c>
      <c r="C14" s="1177"/>
      <c r="D14" s="1177"/>
      <c r="E14" s="1177"/>
      <c r="F14" s="1177"/>
      <c r="G14" s="1177"/>
      <c r="H14" s="1177"/>
      <c r="I14" s="1177"/>
      <c r="J14" s="62" t="s">
        <v>176</v>
      </c>
      <c r="K14" s="68" t="str">
        <f>'Data Input'!F4&amp;"/Ktmvt-"&amp;'Data Input'!K4</f>
        <v>387493583464/Ktmvt-16</v>
      </c>
      <c r="L14" s="56"/>
      <c r="M14" s="51"/>
      <c r="N14" s="53"/>
      <c r="O14" s="53"/>
      <c r="P14" s="20"/>
      <c r="Q14" s="20"/>
      <c r="R14" s="20"/>
      <c r="S14" s="20"/>
      <c r="T14" s="20"/>
      <c r="U14" s="20"/>
      <c r="V14" s="20"/>
    </row>
    <row r="15" spans="1:22" ht="20.65" customHeight="1">
      <c r="B15" s="1177"/>
      <c r="C15" s="1177"/>
      <c r="D15" s="1177"/>
      <c r="E15" s="1177"/>
      <c r="F15" s="1177"/>
      <c r="G15" s="1177"/>
      <c r="H15" s="1177"/>
      <c r="I15" s="1177"/>
      <c r="J15" s="62" t="s">
        <v>95</v>
      </c>
      <c r="K15" s="78" t="str">
        <f>'Data Input'!D4</f>
        <v>2025-26</v>
      </c>
      <c r="L15" s="46"/>
      <c r="M15" s="46"/>
      <c r="N15" s="46"/>
      <c r="O15" s="46"/>
      <c r="P15" s="20"/>
      <c r="Q15" s="20"/>
      <c r="R15" s="20"/>
      <c r="S15" s="20"/>
      <c r="T15" s="20"/>
      <c r="U15" s="20"/>
      <c r="V15" s="20"/>
    </row>
    <row r="16" spans="1:22" ht="7.9" customHeight="1">
      <c r="B16" s="289"/>
      <c r="C16" s="289"/>
      <c r="D16" s="289"/>
      <c r="E16" s="289"/>
      <c r="F16" s="289"/>
      <c r="G16" s="289"/>
      <c r="H16" s="289"/>
      <c r="I16" s="289"/>
      <c r="J16" s="62"/>
      <c r="K16" s="78"/>
      <c r="L16" s="46"/>
      <c r="M16" s="46"/>
      <c r="N16" s="46"/>
      <c r="O16" s="46"/>
      <c r="P16" s="20"/>
      <c r="Q16" s="20"/>
      <c r="R16" s="20"/>
      <c r="S16" s="20"/>
      <c r="T16" s="20"/>
      <c r="U16" s="20"/>
      <c r="V16" s="20"/>
    </row>
    <row r="17" spans="1:22" ht="16.5" customHeight="1">
      <c r="A17" s="21" t="s">
        <v>152</v>
      </c>
      <c r="J17" s="1167" t="str">
        <f>"1| GZØviv Avcbv‡K Rvbv‡bv hvB‡Z‡Q †h, UvKv "&amp;'Data Input'!K36&amp;"/-  "&amp;'Sheet of Calculation'!B52&amp;" hvnv "&amp;'Data Input'!D4&amp;" Kie‡l©i Rb¨ Avcbvi cÖ‡`q/Avcbvi wbKU †dir‡hvM¨ wnmv‡e wbgœiƒc avh© Kiv nBqv‡Qt"</f>
        <v>1| GZØviv Avcbv‡K Rvbv‡bv hvB‡Z‡Q †h, UvKv 598267/-  K_vqt (c‡bi j¶ ... nvRvi Ewbk UvKv gvÎ ) hvnv 2025-26 Kie‡l©i Rb¨ Avcbvi cÖ‡`q/Avcbvi wbKU †dir‡hvM¨ wnmv‡e wbgœiƒc avh© Kiv nBqv‡Qt</v>
      </c>
      <c r="K17" s="1167"/>
      <c r="L17" s="1167"/>
      <c r="M17" s="1167"/>
      <c r="N17" s="1167"/>
      <c r="O17" s="1167"/>
      <c r="P17" s="20"/>
      <c r="Q17" s="20"/>
      <c r="R17" s="20"/>
      <c r="S17" s="20"/>
      <c r="T17" s="20"/>
      <c r="U17" s="20"/>
      <c r="V17" s="20"/>
    </row>
    <row r="18" spans="1:22" ht="17.25" customHeight="1">
      <c r="A18" s="290" t="s">
        <v>559</v>
      </c>
      <c r="C18" s="291"/>
      <c r="J18" s="1167"/>
      <c r="K18" s="1167"/>
      <c r="L18" s="1167"/>
      <c r="M18" s="1167"/>
      <c r="N18" s="1167"/>
      <c r="O18" s="1167"/>
    </row>
    <row r="19" spans="1:22" ht="23.85" customHeight="1">
      <c r="A19" s="1174" t="str">
        <f>"1. "&amp;'Data Input'!D4&amp;" Kie‡l© ¯^wba©viYx c×wZ‡Z Avcbvi `vwLjK…Z wiUvb©/ms‡kvwaZ wiUvb©wU, AvqKi AvBb, 2023 Gi 181(1) avivq cÖwµqvKiY c~e©K MvwYwZK ÎæwU/wiUv‡b©i mv‡_ `vwLjK…Z wee„wZ ev `wjjvw`‡Z we`¨gvb/Zv n‡Z D™¢‚Z Z‡_¨i Av‡jv‡K wbgœiƒc Aï× `vwe cwijw¶Z n‡q‡Q|"</f>
        <v>1. 2025-26 Kie‡l© ¯^wba©viYx c×wZ‡Z Avcbvi `vwLjK…Z wiUvb©/ms‡kvwaZ wiUvb©wU, AvqKi AvBb, 2023 Gi 181(1) avivq cÖwµqvKiY c~e©K MvwYwZK ÎæwU/wiUv‡b©i mv‡_ `vwLjK…Z wee„wZ ev `wjjvw`‡Z we`¨gvb/Zv n‡Z D™¢‚Z Z‡_¨i Av‡jv‡K wbgœiƒc Aï× `vwe cwijw¶Z n‡q‡Q|</v>
      </c>
      <c r="B19" s="1174"/>
      <c r="C19" s="1174"/>
      <c r="D19" s="1174"/>
      <c r="E19" s="1174"/>
      <c r="F19" s="1174"/>
      <c r="G19" s="1174"/>
      <c r="H19" s="1174"/>
      <c r="I19" s="1174"/>
      <c r="J19" s="1167"/>
      <c r="K19" s="1167"/>
      <c r="L19" s="1167"/>
      <c r="M19" s="1167"/>
      <c r="N19" s="1167"/>
      <c r="O19" s="1167"/>
    </row>
    <row r="20" spans="1:22" ht="9.75" customHeight="1">
      <c r="A20" s="1174"/>
      <c r="B20" s="1174"/>
      <c r="C20" s="1174"/>
      <c r="D20" s="1174"/>
      <c r="E20" s="1174"/>
      <c r="F20" s="1174"/>
      <c r="G20" s="1174"/>
      <c r="H20" s="1174"/>
      <c r="I20" s="1174"/>
    </row>
    <row r="21" spans="1:22" ht="18.399999999999999" customHeight="1">
      <c r="A21" s="1174"/>
      <c r="B21" s="1174"/>
      <c r="C21" s="1174"/>
      <c r="D21" s="1174"/>
      <c r="E21" s="1174"/>
      <c r="F21" s="1174"/>
      <c r="G21" s="1174"/>
      <c r="H21" s="1174"/>
      <c r="I21" s="1174"/>
      <c r="J21" s="65" t="s">
        <v>179</v>
      </c>
      <c r="K21" s="49"/>
      <c r="L21" s="59" t="s">
        <v>739</v>
      </c>
      <c r="M21" s="49"/>
      <c r="N21" s="79" t="s">
        <v>265</v>
      </c>
      <c r="O21" s="69">
        <f>'Sheet of Calculation'!C51</f>
        <v>724431.8405919699</v>
      </c>
    </row>
    <row r="22" spans="1:22" ht="16.5" customHeight="1">
      <c r="A22" s="1175" t="s">
        <v>155</v>
      </c>
      <c r="B22" s="1175"/>
      <c r="C22" s="1175"/>
      <c r="D22" s="1175"/>
      <c r="E22" s="1175"/>
      <c r="F22" s="1175"/>
      <c r="G22" s="1175"/>
      <c r="H22" s="1175"/>
      <c r="I22" s="1175"/>
      <c r="J22" s="1168" t="s">
        <v>165</v>
      </c>
      <c r="K22" s="1168"/>
      <c r="L22" s="1168"/>
      <c r="M22" s="1168"/>
      <c r="N22" s="79" t="s">
        <v>265</v>
      </c>
      <c r="O22" s="70">
        <f>'Data Input'!F51</f>
        <v>0</v>
      </c>
    </row>
    <row r="23" spans="1:22" ht="4.5" customHeight="1">
      <c r="A23" s="285"/>
      <c r="B23" s="285"/>
      <c r="C23" s="285"/>
      <c r="D23" s="285"/>
      <c r="E23" s="285"/>
      <c r="F23" s="285"/>
      <c r="G23" s="285"/>
      <c r="H23" s="285"/>
      <c r="I23" s="285"/>
    </row>
    <row r="24" spans="1:22" ht="19.5">
      <c r="A24" s="1173" t="s">
        <v>560</v>
      </c>
      <c r="B24" s="1173"/>
      <c r="C24" s="1173"/>
      <c r="D24" s="1173"/>
      <c r="E24" s="1173"/>
      <c r="F24" s="1173"/>
      <c r="G24" s="1173"/>
      <c r="H24" s="1173"/>
      <c r="I24" s="1173"/>
      <c r="J24" s="1171" t="s">
        <v>184</v>
      </c>
      <c r="K24" s="1171"/>
      <c r="L24" s="1171"/>
      <c r="M24" s="1171"/>
      <c r="N24" s="79" t="s">
        <v>265</v>
      </c>
      <c r="O24" s="69">
        <f>'Data Input'!I32+'Data Input'!F52</f>
        <v>53835.201776246482</v>
      </c>
    </row>
    <row r="25" spans="1:22" ht="19.5">
      <c r="A25" s="1173"/>
      <c r="B25" s="1173"/>
      <c r="C25" s="1173"/>
      <c r="D25" s="1173"/>
      <c r="E25" s="1173"/>
      <c r="F25" s="1173"/>
      <c r="G25" s="1173"/>
      <c r="H25" s="1173"/>
      <c r="I25" s="1173"/>
      <c r="J25" s="1171" t="str">
        <f>"mviPvR©:"&amp;'MisC Cal-2'!C15&amp;" /Ab¨vb¨ AsK: "&amp;'MisC Intrst-3'!R32&amp;"...."</f>
        <v>mviPvR©:. /Ab¨vb¨ AsK:  ....</v>
      </c>
      <c r="K25" s="1171"/>
      <c r="L25" s="1171"/>
      <c r="M25" s="1171"/>
      <c r="N25" s="79" t="s">
        <v>265</v>
      </c>
      <c r="O25" s="112">
        <f>'Data Input'!I34+'Data Input'!F53+'Data Input'!K34</f>
        <v>0</v>
      </c>
    </row>
    <row r="26" spans="1:22" ht="11.25" customHeight="1">
      <c r="A26" s="1173"/>
      <c r="B26" s="1173"/>
      <c r="C26" s="1173"/>
      <c r="D26" s="1173"/>
      <c r="E26" s="1173"/>
      <c r="F26" s="1173"/>
      <c r="G26" s="1173"/>
      <c r="H26" s="1173"/>
      <c r="I26" s="1173"/>
    </row>
    <row r="27" spans="1:22" ht="6.4" customHeight="1">
      <c r="A27" s="292"/>
      <c r="B27" s="292"/>
      <c r="C27" s="292"/>
      <c r="D27" s="292"/>
      <c r="E27" s="292"/>
      <c r="F27" s="292"/>
      <c r="G27" s="292"/>
      <c r="H27" s="292"/>
      <c r="I27" s="292"/>
      <c r="J27" s="1169" t="str">
        <f>"২। আপনাকে এই টাকা আগামী "&amp;TEXT('MisC Intrst-3'!L27,"dd/mm/yyyy")&amp;" খ্রিঃ তারিখে বা তৎপূর্বে এ চালানে/সরকারি কোষাগারে: কর অঞ্চলঃ "&amp;'Data Input'!K5&amp;"- এর কোডে ( "&amp;'Data Input'!K8&amp;" ) জমা দিতে হইবে।"</f>
        <v>২। আপনাকে এই টাকা আগামী 26/01/2027 খ্রিঃ তারিখে বা তৎপূর্বে এ চালানে/সরকারি কোষাগারে: কর অঞ্চলঃ খুলনা- এর কোডে ( 1-1141-0055-0১১১ ) জমা দিতে হইবে।</v>
      </c>
      <c r="K27" s="1169"/>
      <c r="L27" s="1169"/>
      <c r="M27" s="1169"/>
      <c r="N27" s="1169"/>
      <c r="O27" s="1169"/>
    </row>
    <row r="28" spans="1:22" ht="12.75" customHeight="1">
      <c r="A28" s="1173" t="str">
        <f>"3.  DwjøwLZ MvwYwZK ÎæwU/Aï× `vwe Gi †cÖw¶‡Z wbiƒwcZ Avq I cÖ‡`q AvqK‡ii wel‡q Avcbvi e³e¨/AvcwË/wjwLZ e¨vL¨v/cÖgvYvw` A_ev cwi‡kva‡hvM¨ Ki ( "&amp;'Data Input'!K36&amp;"/- UvKv cwi‡kv‡ai Pvjvb cÎ)/Ki mn, AvqKi AvBb, 2023 Gi aviv 181(2)(M)(A) Abymv‡i ms‡kvwaZ wiUvb©, AvMvgx "&amp;TEXT('MisC Intrst-3'!L26,"dd/mm/yyyy")&amp;"  wLªt Zvwi‡L ev Zrc~‡e© g‡a¨ wb‡R/‡iwRwóª WvK‡hv‡M/evnK gvidZ wbgœ¯^v¶iKvixi eivei †cÖi‡Yi Rb¨ Aby‡iva KiwQ|"</f>
        <v>3.  DwjøwLZ MvwYwZK ÎæwU/Aï× `vwe Gi †cÖw¶‡Z wbiƒwcZ Avq I cÖ‡`q AvqK‡ii wel‡q Avcbvi e³e¨/AvcwË/wjwLZ e¨vL¨v/cÖgvYvw` A_ev cwi‡kva‡hvM¨ Ki ( 598267/- UvKv cwi‡kv‡ai Pvjvb cÎ)/Ki mn, AvqKi AvBb, 2023 Gi aviv 181(2)(M)(A) Abymv‡i ms‡kvwaZ wiUvb©, AvMvgx 21/01/2027  wLªt Zvwi‡L ev Zrc~‡e© g‡a¨ wb‡R/‡iwRwóª WvK‡hv‡M/evnK gvidZ wbgœ¯^v¶iKvixi eivei †cÖi‡Yi Rb¨ Aby‡iva KiwQ|</v>
      </c>
      <c r="B28" s="1173"/>
      <c r="C28" s="1173"/>
      <c r="D28" s="1173"/>
      <c r="E28" s="1173"/>
      <c r="F28" s="1173"/>
      <c r="G28" s="1173"/>
      <c r="H28" s="1173"/>
      <c r="I28" s="1173"/>
      <c r="J28" s="1169"/>
      <c r="K28" s="1169"/>
      <c r="L28" s="1169"/>
      <c r="M28" s="1169"/>
      <c r="N28" s="1169"/>
      <c r="O28" s="1169"/>
    </row>
    <row r="29" spans="1:22" ht="12.75" customHeight="1">
      <c r="A29" s="1173"/>
      <c r="B29" s="1173"/>
      <c r="C29" s="1173"/>
      <c r="D29" s="1173"/>
      <c r="E29" s="1173"/>
      <c r="F29" s="1173"/>
      <c r="G29" s="1173"/>
      <c r="H29" s="1173"/>
      <c r="I29" s="1173"/>
      <c r="J29" s="1169"/>
      <c r="K29" s="1169"/>
      <c r="L29" s="1169"/>
      <c r="M29" s="1169"/>
      <c r="N29" s="1169"/>
      <c r="O29" s="1169"/>
    </row>
    <row r="30" spans="1:22" ht="9" customHeight="1">
      <c r="A30" s="1173"/>
      <c r="B30" s="1173"/>
      <c r="C30" s="1173"/>
      <c r="D30" s="1173"/>
      <c r="E30" s="1173"/>
      <c r="F30" s="1173"/>
      <c r="G30" s="1173"/>
      <c r="H30" s="1173"/>
      <c r="I30" s="1173"/>
      <c r="J30" s="1169"/>
      <c r="K30" s="1169"/>
      <c r="L30" s="1169"/>
      <c r="M30" s="1169"/>
      <c r="N30" s="1169"/>
      <c r="O30" s="1169"/>
    </row>
    <row r="31" spans="1:22" ht="6.4" customHeight="1">
      <c r="A31" s="1173"/>
      <c r="B31" s="1173"/>
      <c r="C31" s="1173"/>
      <c r="D31" s="1173"/>
      <c r="E31" s="1173"/>
      <c r="F31" s="1173"/>
      <c r="G31" s="1173"/>
      <c r="H31" s="1173"/>
      <c r="I31" s="1173"/>
    </row>
    <row r="32" spans="1:22" ht="8.25" customHeight="1">
      <c r="A32" s="1173"/>
      <c r="B32" s="1173"/>
      <c r="C32" s="1173"/>
      <c r="D32" s="1173"/>
      <c r="E32" s="1173"/>
      <c r="F32" s="1173"/>
      <c r="G32" s="1173"/>
      <c r="H32" s="1173"/>
      <c r="I32" s="1173"/>
      <c r="J32" s="1169" t="str">
        <f>"২। আপনি যদি ধার্যকৃত করের/জরিমানার অথবা ধার্যকৃত সুদের আদেশের বিরুদ্ধে আপিল দায়ের করিতে ইচ্ছুক হন, তাহা হইলে এই নোটিশ প্রাপ্তির ৪৫ দিনের মধ্যে আপিল অতিরিক্ত/ যুগ্ন কর কমিশনার, রেঞ্জঃ "&amp;'Data Input'!K11&amp;" / কর কমিশনার (আপিল), কর আপিল অঞ্চল -"&amp;'Data Input'!I11&amp;" -এর নিকট আপিল দায়ের করিতে পারিবেন। "</f>
        <v xml:space="preserve">২। আপনি যদি ধার্যকৃত করের/জরিমানার অথবা ধার্যকৃত সুদের আদেশের বিরুদ্ধে আপিল দায়ের করিতে ইচ্ছুক হন, তাহা হইলে এই নোটিশ প্রাপ্তির ৪৫ দিনের মধ্যে আপিল অতিরিক্ত/ যুগ্ন কর কমিশনার, রেঞ্জঃ 3 / কর কমিশনার (আপিল), কর আপিল অঞ্চল -খুলনা -এর নিকট আপিল দায়ের করিতে পারিবেন। </v>
      </c>
      <c r="K32" s="1169"/>
      <c r="L32" s="1169"/>
      <c r="M32" s="1169"/>
      <c r="N32" s="1169"/>
      <c r="O32" s="1169"/>
    </row>
    <row r="33" spans="1:15" ht="16.899999999999999" customHeight="1">
      <c r="A33" s="1173"/>
      <c r="B33" s="1173"/>
      <c r="C33" s="1173"/>
      <c r="D33" s="1173"/>
      <c r="E33" s="1173"/>
      <c r="F33" s="1173"/>
      <c r="G33" s="1173"/>
      <c r="H33" s="1173"/>
      <c r="I33" s="1173"/>
      <c r="J33" s="1169"/>
      <c r="K33" s="1169"/>
      <c r="L33" s="1169"/>
      <c r="M33" s="1169"/>
      <c r="N33" s="1169"/>
      <c r="O33" s="1169"/>
    </row>
    <row r="34" spans="1:15" ht="6" customHeight="1">
      <c r="J34" s="1169"/>
      <c r="K34" s="1169"/>
      <c r="L34" s="1169"/>
      <c r="M34" s="1169"/>
      <c r="N34" s="1169"/>
      <c r="O34" s="1169"/>
    </row>
    <row r="35" spans="1:15" ht="12.75" customHeight="1">
      <c r="A35" s="1173" t="str">
        <f>"4.  D³ Zvwi‡Li g‡a¨ Avcbvi wjwLZ e¨vL¨v/cÖgvYvw`/cwi‡kva‡hvM¨ Ki ( "&amp;'Data Input'!K36&amp;"/- UvKv)/ Kimn, ms‡kvwaZ wiUvb©  †cÖiY Kiv bv n‡j, AvqKi Awdm KZ©…K Avcbvi wiUv‡b© mbv³K…Z MvwYwZK ÎæwU/Aï× `vwe mwVK e‡j we‡ewPZ n‡e Ges Gi wfwË‡Z cieZ©x‡Z Avcbvi eivei `vwe bvgv †bvwUk †cÖiY Kiv n‡e|"</f>
        <v>4.  D³ Zvwi‡Li g‡a¨ Avcbvi wjwLZ e¨vL¨v/cÖgvYvw`/cwi‡kva‡hvM¨ Ki ( 598267/- UvKv)/ Kimn, ms‡kvwaZ wiUvb©  †cÖiY Kiv bv n‡j, AvqKi Awdm KZ©…K Avcbvi wiUv‡b© mbv³K…Z MvwYwZK ÎæwU/Aï× `vwe mwVK e‡j we‡ewPZ n‡e Ges Gi wfwË‡Z cieZ©x‡Z Avcbvi eivei `vwe bvgv †bvwUk †cÖiY Kiv n‡e|</v>
      </c>
      <c r="B35" s="1173"/>
      <c r="C35" s="1173"/>
      <c r="D35" s="1173"/>
      <c r="E35" s="1173"/>
      <c r="F35" s="1173"/>
      <c r="G35" s="1173"/>
      <c r="H35" s="1173"/>
      <c r="I35" s="1173"/>
      <c r="J35" s="1169"/>
      <c r="K35" s="1169"/>
      <c r="L35" s="1169"/>
      <c r="M35" s="1169"/>
      <c r="N35" s="1169"/>
      <c r="O35" s="1169"/>
    </row>
    <row r="36" spans="1:15" ht="12.75" customHeight="1">
      <c r="A36" s="1173"/>
      <c r="B36" s="1173"/>
      <c r="C36" s="1173"/>
      <c r="D36" s="1173"/>
      <c r="E36" s="1173"/>
      <c r="F36" s="1173"/>
      <c r="G36" s="1173"/>
      <c r="H36" s="1173"/>
      <c r="I36" s="1173"/>
      <c r="J36" s="1169"/>
      <c r="K36" s="1169"/>
      <c r="L36" s="1169"/>
      <c r="M36" s="1169"/>
      <c r="N36" s="1169"/>
      <c r="O36" s="1169"/>
    </row>
    <row r="37" spans="1:15" ht="7.5" customHeight="1">
      <c r="A37" s="1173"/>
      <c r="B37" s="1173"/>
      <c r="C37" s="1173"/>
      <c r="D37" s="1173"/>
      <c r="E37" s="1173"/>
      <c r="F37" s="1173"/>
      <c r="G37" s="1173"/>
      <c r="H37" s="1173"/>
      <c r="I37" s="1173"/>
    </row>
    <row r="38" spans="1:15" ht="17.649999999999999" customHeight="1">
      <c r="A38" s="1173"/>
      <c r="B38" s="1173"/>
      <c r="C38" s="1173"/>
      <c r="D38" s="1173"/>
      <c r="E38" s="1173"/>
      <c r="F38" s="1173"/>
      <c r="G38" s="1173"/>
      <c r="H38" s="1173"/>
      <c r="I38" s="1173"/>
      <c r="J38" s="1169" t="s">
        <v>238</v>
      </c>
      <c r="K38" s="1169"/>
      <c r="L38" s="1169"/>
      <c r="M38" s="1169"/>
      <c r="N38" s="1169"/>
      <c r="O38" s="1169"/>
    </row>
    <row r="39" spans="1:15" ht="6" customHeight="1">
      <c r="A39" s="293"/>
      <c r="B39" s="293"/>
      <c r="C39" s="293"/>
      <c r="D39" s="293"/>
      <c r="E39" s="293"/>
      <c r="F39" s="293"/>
      <c r="G39" s="293"/>
      <c r="H39" s="293"/>
      <c r="I39" s="293"/>
      <c r="J39" s="1169"/>
      <c r="K39" s="1169"/>
      <c r="L39" s="1169"/>
      <c r="M39" s="1169"/>
      <c r="N39" s="1169"/>
      <c r="O39" s="1169"/>
    </row>
    <row r="40" spans="1:15" ht="15" customHeight="1">
      <c r="A40" s="1172" t="s">
        <v>154</v>
      </c>
      <c r="B40" s="1172"/>
      <c r="C40" s="1172"/>
      <c r="D40" s="1172"/>
      <c r="E40" s="1172"/>
      <c r="F40" s="1172"/>
      <c r="G40" s="1172"/>
      <c r="H40" s="1172"/>
      <c r="J40" s="1169"/>
      <c r="K40" s="1169"/>
      <c r="L40" s="1169"/>
      <c r="M40" s="1169"/>
      <c r="N40" s="1169"/>
      <c r="O40" s="1169"/>
    </row>
    <row r="41" spans="1:15" ht="5.25" customHeight="1"/>
    <row r="42" spans="1:15" ht="14.25">
      <c r="A42" s="294" t="s">
        <v>627</v>
      </c>
      <c r="B42" s="295">
        <f>'Data Input'!K36</f>
        <v>598267</v>
      </c>
      <c r="C42" s="296" t="s">
        <v>164</v>
      </c>
    </row>
    <row r="43" spans="1:15" ht="14.25">
      <c r="A43" s="294" t="s">
        <v>99</v>
      </c>
      <c r="B43" s="297" t="str">
        <f>'Data Input'!I37</f>
        <v>(c‡bi j¶ ... nvRvi Ewbk UvKv gvÎ )</v>
      </c>
    </row>
    <row r="44" spans="1:15" ht="17.25" customHeight="1">
      <c r="A44" s="298" t="s">
        <v>561</v>
      </c>
      <c r="B44" s="299" t="str">
        <f>'Data Input'!K8</f>
        <v>1-1141-0055-0১১১</v>
      </c>
      <c r="G44" s="23"/>
      <c r="H44" s="300" t="str">
        <f>'MisC Cal-1'!D142</f>
        <v>()</v>
      </c>
      <c r="I44" s="23"/>
    </row>
    <row r="45" spans="1:15" s="291" customFormat="1" ht="14.25" customHeight="1">
      <c r="G45" s="301"/>
      <c r="H45" s="72" t="str">
        <f>'Data Input'!I5</f>
        <v>উপ কর কমিশনার</v>
      </c>
      <c r="I45" s="301"/>
      <c r="N45" s="103" t="s">
        <v>266</v>
      </c>
    </row>
    <row r="46" spans="1:15" ht="14.25" customHeight="1">
      <c r="H46" s="302" t="str">
        <f>'MisC Cal-1'!D144</f>
        <v>Ki mv‡K©j-16,</v>
      </c>
      <c r="N46" s="303" t="s">
        <v>267</v>
      </c>
    </row>
    <row r="47" spans="1:15" ht="14.25" customHeight="1">
      <c r="H47" s="304" t="str">
        <f>'MisC Cal-1'!D145</f>
        <v>কর অঞ্চল-খুলনা।</v>
      </c>
    </row>
    <row r="48" spans="1:15" ht="14.25" customHeight="1">
      <c r="H48" s="22" t="str">
        <f>'MisC Cal-1'!D146</f>
        <v>†dvbt 02-2222244444</v>
      </c>
    </row>
    <row r="51" spans="5:15" ht="16.5">
      <c r="M51" s="109"/>
      <c r="N51" s="25" t="str">
        <f>'MisC Cal-1'!D146</f>
        <v>†dvbt 02-2222244444</v>
      </c>
    </row>
    <row r="52" spans="5:15" ht="17.25" customHeight="1">
      <c r="E52" s="305" t="s">
        <v>819</v>
      </c>
      <c r="J52" s="108" t="s">
        <v>183</v>
      </c>
      <c r="M52" s="109" t="s">
        <v>285</v>
      </c>
      <c r="N52" s="291" t="s">
        <v>286</v>
      </c>
    </row>
    <row r="53" spans="5:15" ht="16.5">
      <c r="E53" s="306" t="str">
        <f>'Data Input'!K7</f>
        <v>https://tinyurl.com/easypeasytax</v>
      </c>
      <c r="M53" s="109" t="s">
        <v>87</v>
      </c>
      <c r="N53" s="1170" t="str">
        <f>'MisC Cal-1'!G146</f>
        <v>50/1, wfAvBwc †ivW, bqvcëb, XvKv|</v>
      </c>
      <c r="O53" s="1170"/>
    </row>
    <row r="54" spans="5:15" ht="13.5">
      <c r="I54" s="307" t="s">
        <v>268</v>
      </c>
      <c r="N54" s="1170"/>
      <c r="O54" s="1170"/>
    </row>
  </sheetData>
  <sheetProtection algorithmName="SHA-512" hashValue="ldlkvr54vqGWskeXwkzZuDTJZqj+WPaTY3TOHO4tJAd/RbZ8Slc/pdqt4o2WqTEGObsQo5gd7hUBbMMmaoRpsA==" saltValue="a9UvvI+mmA+8l4nShBgz2A==" spinCount="100000" sheet="1" objects="1" scenarios="1"/>
  <mergeCells count="19">
    <mergeCell ref="B12:I13"/>
    <mergeCell ref="B14:I15"/>
    <mergeCell ref="J3:K4"/>
    <mergeCell ref="J6:O6"/>
    <mergeCell ref="K12:O13"/>
    <mergeCell ref="A40:H40"/>
    <mergeCell ref="A35:I38"/>
    <mergeCell ref="A19:I21"/>
    <mergeCell ref="A22:I22"/>
    <mergeCell ref="A24:I26"/>
    <mergeCell ref="A28:I33"/>
    <mergeCell ref="J17:O19"/>
    <mergeCell ref="J22:M22"/>
    <mergeCell ref="J38:O40"/>
    <mergeCell ref="N53:O54"/>
    <mergeCell ref="J24:M24"/>
    <mergeCell ref="J25:M25"/>
    <mergeCell ref="J32:O36"/>
    <mergeCell ref="J27:O30"/>
  </mergeCells>
  <printOptions horizontalCentered="1" verticalCentered="1"/>
  <pageMargins left="0.7" right="0.7" top="0.7" bottom="0.7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985D8C36-9257-4DB6-BCF1-63CA14F239A5}">
            <xm:f>'MisC Cal-1'!$E$161=FALSE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A1:I54</xm:sqref>
        </x14:conditionalFormatting>
        <x14:conditionalFormatting xmlns:xm="http://schemas.microsoft.com/office/excel/2006/main">
          <x14:cfRule type="expression" priority="2" id="{212D1701-8021-44F0-B37E-76698E019049}">
            <xm:f>'MisC Cal-1'!$E$163=FALSE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J1:O10 J11 L11:O11 J12:O54</xm:sqref>
        </x14:conditionalFormatting>
        <x14:conditionalFormatting xmlns:xm="http://schemas.microsoft.com/office/excel/2006/main">
          <x14:cfRule type="expression" priority="1" stopIfTrue="1" id="{92174C8A-D77D-42A0-8CC8-35310E03BFC1}">
            <xm:f>'MisC Cal-1'!$E$161=FALSE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K11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CCB2-7C27-4E23-93F5-704753170D54}">
  <sheetPr codeName="Sheet7">
    <tabColor rgb="FF00B050"/>
  </sheetPr>
  <dimension ref="A1:J42"/>
  <sheetViews>
    <sheetView showGridLines="0" showRowColHeaders="0" showRuler="0" view="pageLayout" zoomScaleNormal="100" workbookViewId="0">
      <selection activeCell="D4" sqref="D4:D5"/>
    </sheetView>
  </sheetViews>
  <sheetFormatPr defaultRowHeight="12.75"/>
  <cols>
    <col min="1" max="1" width="17.140625" customWidth="1"/>
    <col min="2" max="2" width="22.42578125" customWidth="1"/>
    <col min="3" max="3" width="15.5703125" customWidth="1"/>
    <col min="4" max="4" width="14.42578125" customWidth="1"/>
    <col min="5" max="5" width="18.140625" customWidth="1"/>
    <col min="6" max="6" width="21.5703125" customWidth="1"/>
    <col min="7" max="7" width="20.42578125" customWidth="1"/>
    <col min="8" max="8" width="7" customWidth="1"/>
    <col min="9" max="9" width="14.28515625" customWidth="1"/>
    <col min="10" max="10" width="24" customWidth="1"/>
  </cols>
  <sheetData>
    <row r="1" spans="1:10" ht="15.75" customHeight="1">
      <c r="A1" s="80"/>
      <c r="B1" s="80"/>
      <c r="C1" s="80"/>
      <c r="D1" s="80"/>
      <c r="E1" s="100" t="s">
        <v>605</v>
      </c>
      <c r="J1" s="100" t="s">
        <v>605</v>
      </c>
    </row>
    <row r="2" spans="1:10" ht="18" customHeight="1">
      <c r="A2" s="1200" t="s">
        <v>269</v>
      </c>
      <c r="B2" s="1200"/>
      <c r="C2" s="1200"/>
      <c r="D2" s="1200"/>
      <c r="E2" s="1200"/>
    </row>
    <row r="3" spans="1:10" ht="19.5">
      <c r="A3" s="114" t="s">
        <v>96</v>
      </c>
      <c r="B3" s="1201" t="str">
        <f>'Sheet of Calculation'!B3</f>
        <v>Rbve Rbve †gvt bvCg nvmvb</v>
      </c>
      <c r="C3" s="1201"/>
      <c r="D3" s="216" t="s">
        <v>37</v>
      </c>
      <c r="E3" s="257" t="str">
        <f>'Data Input'!D8</f>
        <v>পুরুষ</v>
      </c>
      <c r="F3" s="222" t="s">
        <v>343</v>
      </c>
      <c r="G3" s="223"/>
      <c r="H3" s="213"/>
      <c r="I3" s="224"/>
      <c r="J3" s="225"/>
    </row>
    <row r="4" spans="1:10" ht="22.15" customHeight="1">
      <c r="A4" s="1204" t="s">
        <v>97</v>
      </c>
      <c r="B4" s="1202" t="str">
        <f>'Data Input'!D7</f>
        <v xml:space="preserve"> </v>
      </c>
      <c r="C4" s="1202"/>
      <c r="D4" s="1203" t="s">
        <v>327</v>
      </c>
      <c r="E4" s="1300" t="str">
        <f>'Data Input'!F50</f>
        <v xml:space="preserve">82wewe/82wm (AvqKi Aa¨v‡`k, 1984)/183(7) </v>
      </c>
      <c r="F4" s="226" t="s">
        <v>344</v>
      </c>
      <c r="G4" s="83"/>
      <c r="H4" s="82"/>
      <c r="I4" s="141" t="s">
        <v>347</v>
      </c>
      <c r="J4" s="227">
        <f>'MisC Cal-1'!O15+'MisC Cal-1'!O16</f>
        <v>264000</v>
      </c>
    </row>
    <row r="5" spans="1:10" ht="22.15" customHeight="1">
      <c r="A5" s="1204"/>
      <c r="B5" s="1202"/>
      <c r="C5" s="1202"/>
      <c r="D5" s="1203"/>
      <c r="E5" s="1300"/>
      <c r="F5" s="1191" t="s">
        <v>474</v>
      </c>
      <c r="G5" s="1192"/>
      <c r="H5" s="1192"/>
      <c r="I5" s="141" t="s">
        <v>347</v>
      </c>
      <c r="J5" s="227">
        <f>'Data Input'!E44+'Data Input'!E45</f>
        <v>475000</v>
      </c>
    </row>
    <row r="6" spans="1:10" ht="17.649999999999999" customHeight="1">
      <c r="A6" s="115" t="s">
        <v>325</v>
      </c>
      <c r="B6" s="1192" t="str">
        <f>'Data Input'!F4&amp;"/Ktmvt-"&amp;'Data Input'!K4</f>
        <v>387493583464/Ktmvt-16</v>
      </c>
      <c r="C6" s="1192"/>
      <c r="D6" s="285" t="s">
        <v>733</v>
      </c>
      <c r="E6" s="254" t="str">
        <f>'Data Input'!D9</f>
        <v>স্বনির্ধারণী</v>
      </c>
      <c r="F6" s="1191" t="s">
        <v>345</v>
      </c>
      <c r="G6" s="1192"/>
      <c r="H6" s="1192"/>
      <c r="I6" s="141" t="s">
        <v>347</v>
      </c>
      <c r="J6" s="227">
        <f>'Data Input'!E46</f>
        <v>0</v>
      </c>
    </row>
    <row r="7" spans="1:10" ht="17.25" customHeight="1">
      <c r="A7" s="115" t="s">
        <v>95</v>
      </c>
      <c r="B7" s="1195" t="str">
        <f>'Data Input'!D4</f>
        <v>2025-26</v>
      </c>
      <c r="C7" s="1196"/>
      <c r="D7" s="285" t="s">
        <v>328</v>
      </c>
      <c r="E7" s="215" t="str">
        <f>IF(E38=0,'MisC Cal-2'!F14,'Data Input'!D10)</f>
        <v>প্রযোজ্য নহে</v>
      </c>
      <c r="F7" s="1197" t="s">
        <v>346</v>
      </c>
      <c r="G7" s="1198"/>
      <c r="H7" s="1198"/>
      <c r="I7" s="228" t="s">
        <v>347</v>
      </c>
      <c r="J7" s="229">
        <f>'Data Input'!E47</f>
        <v>180000</v>
      </c>
    </row>
    <row r="8" spans="1:10" ht="15" customHeight="1">
      <c r="A8" s="116" t="s">
        <v>326</v>
      </c>
      <c r="B8" s="1199">
        <f>'Data Input'!D5</f>
        <v>45962</v>
      </c>
      <c r="C8" s="1199"/>
      <c r="D8" s="217" t="s">
        <v>324</v>
      </c>
      <c r="E8" s="218">
        <f>'MisC Intrst-3'!L34</f>
        <v>45991</v>
      </c>
      <c r="F8" s="82"/>
      <c r="G8" s="231"/>
      <c r="H8" s="232" t="s">
        <v>348</v>
      </c>
      <c r="I8" s="232" t="s">
        <v>347</v>
      </c>
      <c r="J8" s="233">
        <f>J4+J5+J6+J7</f>
        <v>919000</v>
      </c>
    </row>
    <row r="9" spans="1:10" ht="15" customHeight="1">
      <c r="A9" s="84"/>
      <c r="B9" s="84"/>
      <c r="C9" s="85"/>
      <c r="D9" s="84"/>
      <c r="E9" s="86"/>
      <c r="F9" s="82"/>
      <c r="G9" s="82"/>
      <c r="H9" s="141" t="s">
        <v>349</v>
      </c>
      <c r="I9" s="141" t="s">
        <v>347</v>
      </c>
      <c r="J9" s="230">
        <f>E39-J8</f>
        <v>544431.8405919699</v>
      </c>
    </row>
    <row r="10" spans="1:10" ht="15" customHeight="1">
      <c r="A10" s="1193" t="s">
        <v>330</v>
      </c>
      <c r="B10" s="1194"/>
      <c r="C10" s="129" t="s">
        <v>779</v>
      </c>
      <c r="D10" s="129" t="s">
        <v>732</v>
      </c>
      <c r="E10" s="129" t="s">
        <v>331</v>
      </c>
      <c r="F10" s="142" t="s">
        <v>350</v>
      </c>
      <c r="G10" s="88"/>
      <c r="H10" s="82"/>
      <c r="I10" s="82"/>
      <c r="J10" s="89"/>
    </row>
    <row r="11" spans="1:10" ht="16.5">
      <c r="A11" s="119" t="str">
        <f>'Sheet of Calculation'!B17</f>
        <v xml:space="preserve">†emiKvwi PvKwi n‡Z Ki‡hvM¨ †gvU Avq </v>
      </c>
      <c r="B11" s="120"/>
      <c r="C11" s="127">
        <f>'Data Input'!E26</f>
        <v>1100000</v>
      </c>
      <c r="D11" s="127">
        <v>0</v>
      </c>
      <c r="E11" s="127">
        <f t="shared" ref="E11:E17" si="0">C11</f>
        <v>1100000</v>
      </c>
      <c r="F11" s="140" t="s">
        <v>671</v>
      </c>
      <c r="G11" s="83"/>
      <c r="H11" s="141" t="s">
        <v>347</v>
      </c>
      <c r="I11" s="136">
        <f>'MisC Intrst-3'!H6</f>
        <v>1097573.8804439774</v>
      </c>
      <c r="J11" s="90"/>
    </row>
    <row r="12" spans="1:10" ht="16.5">
      <c r="A12" s="117" t="str">
        <f>'Sheet of Calculation'!B18</f>
        <v>(সরকারি/সমমান) চাকরি হতে করযোগ্য আয়</v>
      </c>
      <c r="B12" s="121"/>
      <c r="C12" s="127">
        <f>'Data Input'!E27</f>
        <v>0</v>
      </c>
      <c r="D12" s="127">
        <v>0</v>
      </c>
      <c r="E12" s="127">
        <f t="shared" si="0"/>
        <v>0</v>
      </c>
      <c r="F12" s="140" t="s">
        <v>672</v>
      </c>
      <c r="G12" s="83"/>
      <c r="H12" s="141" t="s">
        <v>347</v>
      </c>
      <c r="I12" s="136">
        <f>J5</f>
        <v>475000</v>
      </c>
      <c r="J12" s="91"/>
    </row>
    <row r="13" spans="1:10" ht="17.25" thickBot="1">
      <c r="A13" s="117" t="str">
        <f>'Sheet of Calculation'!B19</f>
        <v>পেশাগত আয়</v>
      </c>
      <c r="B13" s="121"/>
      <c r="C13" s="127">
        <f>'Data Input'!E28</f>
        <v>3862355</v>
      </c>
      <c r="D13" s="127">
        <v>0</v>
      </c>
      <c r="E13" s="127">
        <f t="shared" si="0"/>
        <v>3862355</v>
      </c>
      <c r="F13" s="234" t="s">
        <v>673</v>
      </c>
      <c r="G13" s="235"/>
      <c r="H13" s="256" t="s">
        <v>347</v>
      </c>
      <c r="I13" s="236">
        <f>J4</f>
        <v>264000</v>
      </c>
      <c r="J13" s="91"/>
    </row>
    <row r="14" spans="1:10" ht="16.5" customHeight="1" thickTop="1">
      <c r="A14" s="117" t="str">
        <f>'Sheet of Calculation'!B20</f>
        <v>মূলধনী আয় (নিয়মিত করদায়ভুক্ত)</v>
      </c>
      <c r="B14" s="121"/>
      <c r="C14" s="127">
        <f>'Data Input'!E29</f>
        <v>0</v>
      </c>
      <c r="D14" s="127">
        <v>0</v>
      </c>
      <c r="E14" s="127">
        <f t="shared" si="0"/>
        <v>0</v>
      </c>
      <c r="F14" s="140" t="s">
        <v>674</v>
      </c>
      <c r="G14" s="83"/>
      <c r="H14" s="141" t="s">
        <v>347</v>
      </c>
      <c r="I14" s="136">
        <f>'MisC Intrst-3'!H8</f>
        <v>358573.88044397742</v>
      </c>
      <c r="J14" s="91"/>
    </row>
    <row r="15" spans="1:10" ht="18" customHeight="1">
      <c r="A15" s="344" t="str">
        <f>'Sheet of Calculation'!B21</f>
        <v xml:space="preserve">অন্যান্য খাতের আয় </v>
      </c>
      <c r="B15" s="122"/>
      <c r="C15" s="127">
        <f>'Data Input'!E30</f>
        <v>0</v>
      </c>
      <c r="D15" s="127">
        <v>0</v>
      </c>
      <c r="E15" s="127">
        <f t="shared" si="0"/>
        <v>0</v>
      </c>
      <c r="F15" s="1188" t="s">
        <v>351</v>
      </c>
      <c r="G15" s="1188"/>
      <c r="H15" s="1188"/>
      <c r="I15" s="345" t="str">
        <f>'MisC Intrst-3'!L9&amp;"%"</f>
        <v>10%</v>
      </c>
      <c r="J15" s="143">
        <f>'MisC Intrst-3'!D18</f>
        <v>53835.201776246482</v>
      </c>
    </row>
    <row r="16" spans="1:10" ht="18" customHeight="1">
      <c r="A16" s="344" t="str">
        <f>'Sheet of Calculation'!B22</f>
        <v>ব্যক্তিসংঘ/ফার্মের করারোপিত শেয়ার আয়</v>
      </c>
      <c r="B16" s="122"/>
      <c r="C16" s="127">
        <f>'Data Input'!E31</f>
        <v>500000</v>
      </c>
      <c r="D16" s="127">
        <v>0</v>
      </c>
      <c r="E16" s="127">
        <f t="shared" si="0"/>
        <v>500000</v>
      </c>
      <c r="F16" s="1190" t="str">
        <f>"(cÖ‡hvR¨ †¶‡Î) "&amp;'MisC Intrst-3'!T32&amp;" wej¤^ my`t  "</f>
        <v xml:space="preserve">(cÖ‡hvR¨ †¶‡Î)   wej¤^ my`t  </v>
      </c>
      <c r="G16" s="1190"/>
      <c r="H16" s="346"/>
      <c r="I16" s="347">
        <f>'MisC Intrst-3'!L30</f>
        <v>0.02</v>
      </c>
      <c r="J16" s="143">
        <f>'MisC Intrst-3'!L43</f>
        <v>0</v>
      </c>
    </row>
    <row r="17" spans="1:10" ht="17.25" customHeight="1">
      <c r="A17" s="117" t="str">
        <f>'Sheet of Calculation'!B23</f>
        <v>৫৬/৭৬(৬) ধারায় নিয়মিত করদায়ভুক্ত আয়</v>
      </c>
      <c r="B17" s="121"/>
      <c r="C17" s="127">
        <f>'Data Input'!E32</f>
        <v>0</v>
      </c>
      <c r="D17" s="127">
        <v>0</v>
      </c>
      <c r="E17" s="127">
        <f t="shared" si="0"/>
        <v>0</v>
      </c>
      <c r="F17" s="1190" t="s">
        <v>632</v>
      </c>
      <c r="G17" s="1190"/>
      <c r="J17" s="143">
        <f>'MisC Cal-2'!D11</f>
        <v>0</v>
      </c>
    </row>
    <row r="18" spans="1:10" ht="18.75" customHeight="1">
      <c r="A18" s="344" t="str">
        <f>'Sheet of Calculation'!B25</f>
        <v>আর্থিক পরিসম্পদ হতে ১৬৩ ধারার আয়</v>
      </c>
      <c r="B18" s="121"/>
      <c r="C18" s="127">
        <f>'Data Input'!E35</f>
        <v>1728142</v>
      </c>
      <c r="D18" s="127">
        <f>C18</f>
        <v>1728142</v>
      </c>
      <c r="E18" s="127">
        <v>0</v>
      </c>
      <c r="F18" s="1190" t="s">
        <v>633</v>
      </c>
      <c r="G18" s="1190"/>
      <c r="J18" s="143">
        <f>'Data Input'!I35+'Data Input'!K35</f>
        <v>0</v>
      </c>
    </row>
    <row r="19" spans="1:10" ht="17.25" customHeight="1">
      <c r="A19" s="188" t="str">
        <f>'Sheet of Calculation'!B27</f>
        <v>* 163 avivi P‚ovšÍ Ki`vq Avq (mÂqc‡Îi gybvdv, BZ¨vw`)</v>
      </c>
      <c r="B19" s="118"/>
      <c r="C19" s="127">
        <f>'Data Input'!E37</f>
        <v>0</v>
      </c>
      <c r="D19" s="127">
        <f>C19</f>
        <v>0</v>
      </c>
      <c r="E19" s="127">
        <v>0</v>
      </c>
      <c r="G19" s="132"/>
      <c r="H19" s="79" t="s">
        <v>352</v>
      </c>
      <c r="I19" s="253" t="s">
        <v>347</v>
      </c>
      <c r="J19" s="148">
        <f>'Data Input'!K36</f>
        <v>598267</v>
      </c>
    </row>
    <row r="20" spans="1:10" ht="15.75" customHeight="1">
      <c r="A20" s="1186" t="s">
        <v>329</v>
      </c>
      <c r="B20" s="1187"/>
      <c r="C20" s="128">
        <f>'Sheet of Calculation'!D26+'Sheet of Calculation'!D27</f>
        <v>7190497</v>
      </c>
      <c r="D20" s="128">
        <f>SUM(D18:D19)</f>
        <v>1728142</v>
      </c>
      <c r="E20" s="128">
        <f>'Sheet of Calculation'!D24</f>
        <v>5462355</v>
      </c>
      <c r="F20" s="144" t="s">
        <v>357</v>
      </c>
      <c r="G20" s="92"/>
      <c r="H20" s="100" t="s">
        <v>358</v>
      </c>
      <c r="I20" s="1181" t="str">
        <f>'Data Input'!I37</f>
        <v>(c‡bi j¶ ... nvRvi Ewbk UvKv gvÎ )</v>
      </c>
      <c r="J20" s="1182"/>
    </row>
    <row r="21" spans="1:10" ht="15.75" customHeight="1">
      <c r="A21" s="130" t="s">
        <v>332</v>
      </c>
      <c r="B21" s="93"/>
      <c r="C21" s="1189"/>
      <c r="D21" s="1189"/>
      <c r="E21" s="94"/>
      <c r="F21" s="151">
        <f>'Data Input'!F5</f>
        <v>46386</v>
      </c>
      <c r="G21" s="80"/>
      <c r="H21" s="80"/>
      <c r="I21" s="1183"/>
      <c r="J21" s="1184"/>
    </row>
    <row r="22" spans="1:10" ht="16.5" customHeight="1">
      <c r="A22" s="1185" t="s">
        <v>333</v>
      </c>
      <c r="B22" s="1185"/>
      <c r="C22" s="1185"/>
      <c r="D22" s="95"/>
      <c r="E22" s="96"/>
    </row>
    <row r="23" spans="1:10" ht="16.5" customHeight="1">
      <c r="A23" s="81"/>
      <c r="B23" s="81"/>
      <c r="C23" s="131" t="s">
        <v>334</v>
      </c>
      <c r="D23" s="131" t="s">
        <v>27</v>
      </c>
      <c r="E23" s="131" t="s">
        <v>335</v>
      </c>
      <c r="F23" s="80"/>
      <c r="G23" s="80"/>
      <c r="H23" s="80"/>
    </row>
    <row r="24" spans="1:10" ht="15.75">
      <c r="A24" s="82"/>
      <c r="B24" s="82"/>
      <c r="C24" s="124">
        <f>'Sheet of Calculation'!D30</f>
        <v>350000</v>
      </c>
      <c r="D24" s="125">
        <f>'Sheet of Calculation'!E30</f>
        <v>0</v>
      </c>
      <c r="E24" s="126">
        <f>'Sheet of Calculation'!F30</f>
        <v>0</v>
      </c>
      <c r="F24" s="80"/>
      <c r="G24" s="80"/>
      <c r="H24" s="80"/>
    </row>
    <row r="25" spans="1:10" ht="15.75">
      <c r="A25" s="82"/>
      <c r="B25" s="82"/>
      <c r="C25" s="124">
        <f>'Sheet of Calculation'!D31</f>
        <v>100000</v>
      </c>
      <c r="D25" s="125">
        <f>'Sheet of Calculation'!E31</f>
        <v>0.05</v>
      </c>
      <c r="E25" s="126">
        <f>'Sheet of Calculation'!F31</f>
        <v>5000</v>
      </c>
      <c r="F25" s="80"/>
      <c r="G25" s="80"/>
      <c r="H25" s="80"/>
    </row>
    <row r="26" spans="1:10" ht="17.25">
      <c r="A26" s="82"/>
      <c r="B26" s="82"/>
      <c r="C26" s="124">
        <f>'Sheet of Calculation'!D32</f>
        <v>400000</v>
      </c>
      <c r="D26" s="125">
        <f>'Sheet of Calculation'!E32</f>
        <v>0.1</v>
      </c>
      <c r="E26" s="126">
        <f>'Sheet of Calculation'!F32</f>
        <v>40000</v>
      </c>
      <c r="F26" s="97"/>
      <c r="G26" s="97"/>
      <c r="H26" s="80"/>
      <c r="J26" s="145" t="str">
        <f>'MisC Cal-1'!D142</f>
        <v>()</v>
      </c>
    </row>
    <row r="27" spans="1:10" ht="16.5">
      <c r="A27" s="82"/>
      <c r="B27" s="82"/>
      <c r="C27" s="124">
        <f>'Sheet of Calculation'!D33</f>
        <v>500000</v>
      </c>
      <c r="D27" s="125">
        <f>'Sheet of Calculation'!E33</f>
        <v>0.15000000000000002</v>
      </c>
      <c r="E27" s="126">
        <f>'Sheet of Calculation'!F33</f>
        <v>75000.000000000015</v>
      </c>
      <c r="F27" s="98"/>
      <c r="G27" s="98"/>
      <c r="H27" s="80"/>
      <c r="J27" s="138" t="str">
        <f>'Data Input'!I5</f>
        <v>উপ কর কমিশনার</v>
      </c>
    </row>
    <row r="28" spans="1:10" ht="16.5">
      <c r="A28" s="82"/>
      <c r="B28" s="82"/>
      <c r="C28" s="124">
        <f>'Sheet of Calculation'!D34</f>
        <v>500000</v>
      </c>
      <c r="D28" s="125">
        <f>'Sheet of Calculation'!E34</f>
        <v>0.2</v>
      </c>
      <c r="E28" s="126">
        <f>'Sheet of Calculation'!F34</f>
        <v>100000</v>
      </c>
      <c r="F28" s="80"/>
      <c r="G28" s="80"/>
      <c r="H28" s="80"/>
      <c r="J28" s="146" t="str">
        <f>'MisC Cal-1'!D144</f>
        <v>Ki mv‡K©j-16,</v>
      </c>
    </row>
    <row r="29" spans="1:10" ht="16.5">
      <c r="A29" s="99"/>
      <c r="B29" s="99"/>
      <c r="C29" s="124">
        <f>'Sheet of Calculation'!D35</f>
        <v>2000000</v>
      </c>
      <c r="D29" s="125">
        <f>'Sheet of Calculation'!E35</f>
        <v>0.25</v>
      </c>
      <c r="E29" s="126">
        <f>'Sheet of Calculation'!F35</f>
        <v>500000</v>
      </c>
      <c r="J29" s="138" t="str">
        <f>'MisC Cal-1'!D145</f>
        <v>কর অঞ্চল-খুলনা।</v>
      </c>
    </row>
    <row r="30" spans="1:10" ht="18" customHeight="1">
      <c r="A30" s="135"/>
      <c r="B30" s="152">
        <f>'MisC Cal-1'!K5</f>
        <v>0</v>
      </c>
      <c r="C30" s="6"/>
      <c r="D30" s="348" t="s">
        <v>297</v>
      </c>
      <c r="E30" s="123">
        <f>'MisC Cal-1'!L8</f>
        <v>1203706.5</v>
      </c>
      <c r="I30" s="349"/>
    </row>
    <row r="31" spans="1:10" ht="18" customHeight="1">
      <c r="A31" s="113"/>
      <c r="D31" s="348" t="s">
        <v>338</v>
      </c>
      <c r="E31" s="136">
        <f>'MisC Cal-1'!F18</f>
        <v>518442.60000000009</v>
      </c>
    </row>
    <row r="32" spans="1:10" ht="18" customHeight="1">
      <c r="A32" s="113"/>
      <c r="B32" s="350"/>
      <c r="C32" s="350"/>
      <c r="D32" s="351" t="s">
        <v>340</v>
      </c>
      <c r="E32" s="985">
        <f>'MisC Cal-1'!F19</f>
        <v>0</v>
      </c>
    </row>
    <row r="33" spans="1:10" ht="18" customHeight="1">
      <c r="A33" s="113"/>
      <c r="B33" s="113"/>
      <c r="D33" s="348" t="s">
        <v>341</v>
      </c>
      <c r="E33" s="986">
        <f>'Sheet of Calculation'!F40</f>
        <v>1722149.1</v>
      </c>
    </row>
    <row r="34" spans="1:10" ht="12.75" customHeight="1">
      <c r="A34" s="214" t="s">
        <v>675</v>
      </c>
      <c r="B34" s="133"/>
      <c r="C34" s="87"/>
      <c r="D34" s="82"/>
      <c r="E34" s="134"/>
    </row>
    <row r="35" spans="1:10" ht="16.5">
      <c r="A35" s="88"/>
      <c r="B35" s="88"/>
      <c r="D35" s="348" t="s">
        <v>337</v>
      </c>
      <c r="E35" s="139">
        <f>'Data Input'!E39</f>
        <v>990235</v>
      </c>
    </row>
    <row r="36" spans="1:10" ht="16.5">
      <c r="A36" s="113"/>
      <c r="B36" s="113"/>
      <c r="C36" s="352" t="str">
        <f>'MisC Cal-2'!C76</f>
        <v>*(e¨w³msN/dv‡g©i Av‡qi Rb¨ Ki Ae¨vnwZ = 110183/-)</v>
      </c>
      <c r="D36" s="348" t="s">
        <v>339</v>
      </c>
      <c r="E36" s="137">
        <f>'MisC Cal-2'!D69</f>
        <v>258717.25940803008</v>
      </c>
    </row>
    <row r="37" spans="1:10" ht="14.25" customHeight="1">
      <c r="A37" s="113"/>
      <c r="B37" s="237"/>
      <c r="C37" s="353"/>
      <c r="D37" s="354" t="s">
        <v>342</v>
      </c>
      <c r="E37" s="123">
        <f>'MisC Cal-1'!E35</f>
        <v>1463431.8405919699</v>
      </c>
    </row>
    <row r="38" spans="1:10" ht="17.25" customHeight="1">
      <c r="A38" s="255" t="str">
        <f>"("&amp;IF(E38&gt;0,'MisC Cal-2'!F13,'MisC Cal-2'!F14)&amp;")"</f>
        <v>(প্রযোজ্য নহে)</v>
      </c>
      <c r="B38" s="138"/>
      <c r="D38" s="348" t="s">
        <v>734</v>
      </c>
      <c r="E38" s="137">
        <f>'MisC Cal-2'!D10</f>
        <v>0</v>
      </c>
    </row>
    <row r="39" spans="1:10" ht="18">
      <c r="A39" s="219"/>
      <c r="B39" s="220"/>
      <c r="C39" s="355"/>
      <c r="D39" s="356" t="s">
        <v>336</v>
      </c>
      <c r="E39" s="221">
        <f>'Sheet of Calculation'!F44</f>
        <v>1463431.8405919699</v>
      </c>
      <c r="F39" s="80"/>
      <c r="G39" s="80"/>
      <c r="H39" s="80"/>
      <c r="I39" s="80"/>
      <c r="J39" s="80"/>
    </row>
    <row r="40" spans="1:10" ht="15.75">
      <c r="F40" s="80"/>
      <c r="G40" s="80"/>
      <c r="H40" s="80"/>
      <c r="I40" s="80"/>
      <c r="J40" s="80"/>
    </row>
    <row r="41" spans="1:10" ht="15.75">
      <c r="C41" s="357" t="s">
        <v>268</v>
      </c>
      <c r="F41" s="80"/>
      <c r="G41" s="80"/>
      <c r="H41" s="358" t="s">
        <v>270</v>
      </c>
      <c r="I41" s="80"/>
      <c r="J41" s="80"/>
    </row>
    <row r="42" spans="1:10" ht="15.75">
      <c r="F42" s="80"/>
      <c r="G42" s="80"/>
      <c r="H42" s="80"/>
      <c r="I42" s="80"/>
      <c r="J42" s="80"/>
    </row>
  </sheetData>
  <sheetProtection algorithmName="SHA-512" hashValue="z/XKCLoGZmzr1OwoC3vIKF07CxjCxBGa6iKLAUibO2Rhbe78sdwolQcZNYvsNPAVRgS/8JMn2wVW+7If8O8AMg==" saltValue="/Y9S/NaFvxBv01QjuBigMw==" spinCount="100000" sheet="1" objects="1" scenarios="1"/>
  <mergeCells count="21">
    <mergeCell ref="A2:E2"/>
    <mergeCell ref="B3:C3"/>
    <mergeCell ref="B4:C5"/>
    <mergeCell ref="D4:D5"/>
    <mergeCell ref="E4:E5"/>
    <mergeCell ref="A4:A5"/>
    <mergeCell ref="F5:H5"/>
    <mergeCell ref="A10:B10"/>
    <mergeCell ref="B6:C6"/>
    <mergeCell ref="F6:H6"/>
    <mergeCell ref="B7:C7"/>
    <mergeCell ref="F7:H7"/>
    <mergeCell ref="B8:C8"/>
    <mergeCell ref="I20:J21"/>
    <mergeCell ref="A22:C22"/>
    <mergeCell ref="A20:B20"/>
    <mergeCell ref="F15:H15"/>
    <mergeCell ref="C21:D21"/>
    <mergeCell ref="F16:G16"/>
    <mergeCell ref="F17:G17"/>
    <mergeCell ref="F18:G18"/>
  </mergeCells>
  <printOptions horizontalCentered="1" verticalCentered="1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144ADA5-F6CF-4C9B-92E1-34F4A0486548}">
            <xm:f>'MisC Cal-1'!$E$164=FALSE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A1:J19 A20:I20 A21:H21 A22:E22 A23:J42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BF9A-43D2-42E2-90FC-F6B19D89DA77}">
  <sheetPr codeName="Sheet8">
    <tabColor rgb="FF00B050"/>
    <pageSetUpPr fitToPage="1"/>
  </sheetPr>
  <dimension ref="A3:F35"/>
  <sheetViews>
    <sheetView showGridLines="0" showRowColHeaders="0" showRuler="0" view="pageLayout" zoomScale="80" zoomScaleNormal="100" zoomScalePageLayoutView="80" workbookViewId="0">
      <selection activeCell="A4" sqref="A4:F4"/>
    </sheetView>
  </sheetViews>
  <sheetFormatPr defaultRowHeight="12.75"/>
  <cols>
    <col min="1" max="1" width="12.140625" customWidth="1"/>
    <col min="2" max="2" width="9.85546875" customWidth="1"/>
    <col min="3" max="3" width="31.85546875" customWidth="1"/>
    <col min="4" max="4" width="23" customWidth="1"/>
    <col min="5" max="5" width="9.7109375" customWidth="1"/>
    <col min="6" max="6" width="14.85546875" customWidth="1"/>
  </cols>
  <sheetData>
    <row r="3" spans="1:6" ht="35.25" customHeight="1">
      <c r="A3" s="1178" t="s">
        <v>180</v>
      </c>
      <c r="B3" s="1178"/>
      <c r="C3" s="54"/>
      <c r="D3" s="54"/>
      <c r="E3" s="54"/>
      <c r="F3" s="58" t="s">
        <v>171</v>
      </c>
    </row>
    <row r="4" spans="1:6" ht="31.15" customHeight="1">
      <c r="A4" s="1179" t="s">
        <v>172</v>
      </c>
      <c r="B4" s="1179"/>
      <c r="C4" s="1179"/>
      <c r="D4" s="1179"/>
      <c r="E4" s="1179"/>
      <c r="F4" s="1179"/>
    </row>
    <row r="5" spans="1:6" ht="23.65" customHeight="1">
      <c r="A5" s="60" t="s">
        <v>178</v>
      </c>
      <c r="B5" s="61" t="str">
        <f>"wWt‡bvt/"&amp;'Data Input'!F4&amp;"/mv-"&amp;'Data Input'!K4&amp;"/"&amp;'Data Input'!K25&amp;"/"</f>
        <v>wWt‡bvt/387493583464/mv-16/0/</v>
      </c>
      <c r="C5" s="46"/>
      <c r="D5" s="46"/>
      <c r="E5" s="63" t="s">
        <v>173</v>
      </c>
      <c r="F5" s="67" t="str">
        <f>TEXT('Data Input'!F5,"dd/mm/yyyy")</f>
        <v>30/12/2026</v>
      </c>
    </row>
    <row r="6" spans="1:6" ht="19.5">
      <c r="A6" s="61" t="s">
        <v>174</v>
      </c>
      <c r="B6" s="46"/>
      <c r="C6" s="46"/>
      <c r="D6" s="46"/>
      <c r="E6" s="46"/>
      <c r="F6" s="46"/>
    </row>
    <row r="7" spans="1:6" ht="21.4" customHeight="1">
      <c r="A7" s="61" t="s">
        <v>177</v>
      </c>
      <c r="B7" s="275" t="str">
        <f>'Sheet of Calculation'!B3</f>
        <v>Rbve Rbve †gvt bvCg nvmvb</v>
      </c>
      <c r="C7" s="55"/>
      <c r="D7" s="50"/>
      <c r="E7" s="1207"/>
      <c r="F7" s="1207"/>
    </row>
    <row r="8" spans="1:6" ht="40.5" customHeight="1">
      <c r="A8" s="62" t="s">
        <v>97</v>
      </c>
      <c r="B8" s="1208" t="str">
        <f>'Data Input'!D7</f>
        <v xml:space="preserve"> </v>
      </c>
      <c r="C8" s="1208"/>
      <c r="D8" s="1208"/>
      <c r="E8" s="1208"/>
      <c r="F8" s="1208"/>
    </row>
    <row r="9" spans="1:6" ht="20.65" customHeight="1">
      <c r="A9" s="62" t="s">
        <v>176</v>
      </c>
      <c r="B9" s="68" t="str">
        <f>'Data Input'!F4&amp;"/Ktmvt-"&amp;'Data Input'!K4</f>
        <v>387493583464/Ktmvt-16</v>
      </c>
      <c r="C9" s="56"/>
      <c r="D9" s="51"/>
      <c r="E9" s="53"/>
      <c r="F9" s="53"/>
    </row>
    <row r="10" spans="1:6" ht="20.25" customHeight="1">
      <c r="A10" s="62" t="s">
        <v>95</v>
      </c>
      <c r="B10" s="78" t="str">
        <f>'Data Input'!D4</f>
        <v>2025-26</v>
      </c>
      <c r="C10" s="46"/>
      <c r="D10" s="46"/>
      <c r="E10" s="46"/>
      <c r="F10" s="46"/>
    </row>
    <row r="11" spans="1:6" ht="40.15" customHeight="1">
      <c r="A11" s="1209" t="str">
        <f>"1| GZØviv Avcbv‡K Rvbv‡bv hvB‡Z‡Q †h, UvKv "&amp;'Data Input'!K36&amp;"/-  "&amp;'Sheet of Calculation'!B52&amp;" hvnv "&amp;'Data Input'!D4&amp;" Kie‡l©i Rb¨ Avcbvi cÖ‡`q/Avcbvi wbKU †dir‡hvM¨ wnmv‡e wbgœiƒc avh© Kiv nBqv‡Qt"</f>
        <v>1| GZØviv Avcbv‡K Rvbv‡bv hvB‡Z‡Q †h, UvKv 598267/-  K_vqt (c‡bi j¶ ... nvRvi Ewbk UvKv gvÎ ) hvnv 2025-26 Kie‡l©i Rb¨ Avcbvi cÖ‡`q/Avcbvi wbKU †dir‡hvM¨ wnmv‡e wbgœiƒc avh© Kiv nBqv‡Qt</v>
      </c>
      <c r="B11" s="1209"/>
      <c r="C11" s="1209"/>
      <c r="D11" s="1209"/>
      <c r="E11" s="1209"/>
      <c r="F11" s="1209"/>
    </row>
    <row r="12" spans="1:6" ht="9" customHeight="1">
      <c r="A12" s="46"/>
      <c r="B12" s="46"/>
      <c r="C12" s="46"/>
      <c r="D12" s="46"/>
      <c r="E12" s="46"/>
      <c r="F12" s="46"/>
    </row>
    <row r="13" spans="1:6" ht="21.75" customHeight="1">
      <c r="A13" s="65" t="s">
        <v>179</v>
      </c>
      <c r="B13" s="49"/>
      <c r="C13" s="61" t="str">
        <f>'Data Input'!F50</f>
        <v xml:space="preserve">82wewe/82wm (AvqKi Aa¨v‡`k, 1984)/183(7) </v>
      </c>
      <c r="D13" s="49"/>
      <c r="E13" s="79" t="s">
        <v>265</v>
      </c>
      <c r="F13" s="69">
        <f>'Sheet of Calculation'!C51</f>
        <v>724431.8405919699</v>
      </c>
    </row>
    <row r="14" spans="1:6" ht="21" customHeight="1">
      <c r="A14" s="1171" t="s">
        <v>165</v>
      </c>
      <c r="B14" s="1171"/>
      <c r="C14" s="1171"/>
      <c r="D14" s="1171"/>
      <c r="E14" s="79" t="s">
        <v>265</v>
      </c>
      <c r="F14" s="70">
        <f>'Data Input'!F51</f>
        <v>0</v>
      </c>
    </row>
    <row r="15" spans="1:6" ht="21" customHeight="1">
      <c r="A15" s="1205" t="s">
        <v>184</v>
      </c>
      <c r="B15" s="1205"/>
      <c r="C15" s="1205"/>
      <c r="D15" s="1205"/>
      <c r="E15" s="79" t="s">
        <v>265</v>
      </c>
      <c r="F15" s="69">
        <f>'Data Input'!I32+'Data Input'!F52</f>
        <v>53835.201776246482</v>
      </c>
    </row>
    <row r="16" spans="1:6" ht="21.4" customHeight="1">
      <c r="A16" s="1171" t="str">
        <f>"mviPvR©:"&amp;'MisC Cal-2'!C15&amp;" / Ab¨vb¨ AsK: "&amp;'MisC Intrst-3'!R32&amp;"......"</f>
        <v>mviPvR©:. / Ab¨vb¨ AsK:  ......</v>
      </c>
      <c r="B16" s="1171"/>
      <c r="C16" s="1171"/>
      <c r="D16" s="1171"/>
      <c r="E16" s="79" t="s">
        <v>265</v>
      </c>
      <c r="F16" s="112">
        <f>'Data Input'!I34+'Data Input'!F53+'Data Input'!K34</f>
        <v>0</v>
      </c>
    </row>
    <row r="17" spans="1:6" ht="9.75" customHeight="1">
      <c r="A17" s="46"/>
      <c r="B17" s="46"/>
      <c r="C17" s="46"/>
      <c r="D17" s="46"/>
      <c r="E17" s="46"/>
      <c r="F17" s="46"/>
    </row>
    <row r="18" spans="1:6" ht="41.65" customHeight="1">
      <c r="A18" s="1206" t="str">
        <f>"২। আপনাকে এই টাকা আগামী "&amp;TEXT('MisC Intrst-3'!L27,"dd/mm/yyyy")&amp;" খ্রিঃ তারিখে বা তৎপূর্বে এ চালানে/সরকারি কোষাগারে: কর অঞ্চলঃ "&amp;'Data Input'!K5&amp;"- এর কোডে ( "&amp;'Data Input'!K8&amp;" ) জমা দিতে হইবে।"</f>
        <v>২। আপনাকে এই টাকা আগামী 26/01/2027 খ্রিঃ তারিখে বা তৎপূর্বে এ চালানে/সরকারি কোষাগারে: কর অঞ্চলঃ খুলনা- এর কোডে ( 1-1141-0055-0১১১ ) জমা দিতে হইবে।</v>
      </c>
      <c r="B18" s="1206"/>
      <c r="C18" s="1206"/>
      <c r="D18" s="1206"/>
      <c r="E18" s="1206"/>
      <c r="F18" s="1206"/>
    </row>
    <row r="19" spans="1:6" ht="8.25" customHeight="1">
      <c r="A19" s="64"/>
      <c r="B19" s="64"/>
      <c r="C19" s="64"/>
      <c r="D19" s="64"/>
      <c r="E19" s="64"/>
      <c r="F19" s="64"/>
    </row>
    <row r="20" spans="1:6" ht="57.4" customHeight="1">
      <c r="A20" s="1206" t="str">
        <f>"২। আপনি যদি ধার্যকৃত করের/জরিমানার অথবা ধার্যকৃত সুদের আদেশের বিরুদ্ধে আপিল দায়ের করিতে ইচ্ছুক হন, তাহা হইলে এই নোটিশ প্রাপ্তির ৪৫ দিনের মধ্যে আপিল অতিরিক্ত/ যুগ্ন কর কমিশনার, রেঞ্জঃ "&amp;'Data Input'!K11&amp;" / কর কমিশনার (আপিল), কর আপিল অঞ্চল -"&amp;'Data Input'!I11&amp;" -এর নিকট আপিল দায়ের করিতে পারিবেন। "</f>
        <v xml:space="preserve">২। আপনি যদি ধার্যকৃত করের/জরিমানার অথবা ধার্যকৃত সুদের আদেশের বিরুদ্ধে আপিল দায়ের করিতে ইচ্ছুক হন, তাহা হইলে এই নোটিশ প্রাপ্তির ৪৫ দিনের মধ্যে আপিল অতিরিক্ত/ যুগ্ন কর কমিশনার, রেঞ্জঃ 3 / কর কমিশনার (আপিল), কর আপিল অঞ্চল -খুলনা -এর নিকট আপিল দায়ের করিতে পারিবেন। </v>
      </c>
      <c r="B20" s="1206"/>
      <c r="C20" s="1206"/>
      <c r="D20" s="1206"/>
      <c r="E20" s="1206"/>
      <c r="F20" s="1206"/>
    </row>
    <row r="21" spans="1:6" ht="9" customHeight="1">
      <c r="A21" s="64"/>
      <c r="B21" s="64"/>
      <c r="C21" s="64"/>
      <c r="D21" s="64"/>
      <c r="E21" s="64"/>
      <c r="F21" s="64"/>
    </row>
    <row r="22" spans="1:6" ht="41.65" customHeight="1">
      <c r="A22" s="1206" t="s">
        <v>238</v>
      </c>
      <c r="B22" s="1206"/>
      <c r="C22" s="1206"/>
      <c r="D22" s="1206"/>
      <c r="E22" s="1206"/>
      <c r="F22" s="1206"/>
    </row>
    <row r="23" spans="1:6" ht="18">
      <c r="A23" s="46"/>
      <c r="B23" s="46"/>
      <c r="C23" s="46"/>
      <c r="D23" s="46"/>
      <c r="E23" s="46"/>
      <c r="F23" s="46"/>
    </row>
    <row r="24" spans="1:6" ht="18">
      <c r="A24" s="46"/>
      <c r="B24" s="47">
        <v>45154</v>
      </c>
      <c r="C24" s="46"/>
      <c r="D24" s="46"/>
      <c r="E24" s="46"/>
      <c r="F24" s="46"/>
    </row>
    <row r="25" spans="1:6" ht="18">
      <c r="A25" s="46"/>
      <c r="B25" s="47"/>
      <c r="C25" s="46"/>
      <c r="D25" s="46"/>
      <c r="E25" s="46"/>
      <c r="F25" s="46"/>
    </row>
    <row r="26" spans="1:6" ht="19.5">
      <c r="A26" s="52"/>
      <c r="B26" s="57"/>
      <c r="C26" s="46"/>
      <c r="D26" s="65"/>
      <c r="E26" s="106" t="s">
        <v>266</v>
      </c>
      <c r="F26" s="65"/>
    </row>
    <row r="27" spans="1:6" ht="18">
      <c r="A27" s="52"/>
      <c r="B27" s="52"/>
      <c r="C27" s="46"/>
      <c r="D27" s="49"/>
      <c r="E27" s="107" t="s">
        <v>267</v>
      </c>
      <c r="F27" s="49"/>
    </row>
    <row r="28" spans="1:6" ht="18">
      <c r="A28" s="46"/>
      <c r="B28" s="46"/>
      <c r="C28" s="46"/>
      <c r="D28" s="59"/>
      <c r="E28" s="52"/>
      <c r="F28" s="59"/>
    </row>
    <row r="29" spans="1:6" ht="18">
      <c r="A29" s="46"/>
      <c r="B29" s="46"/>
      <c r="C29" s="46"/>
      <c r="D29" s="48"/>
      <c r="E29" s="48"/>
      <c r="F29" s="48"/>
    </row>
    <row r="33" spans="2:5" ht="17.25">
      <c r="D33" s="71"/>
      <c r="E33" s="25" t="str">
        <f>'MisC Cal-1'!D146</f>
        <v>†dvbt 02-2222244444</v>
      </c>
    </row>
    <row r="34" spans="2:5" ht="19.5">
      <c r="B34" s="66" t="s">
        <v>183</v>
      </c>
      <c r="D34" s="71" t="s">
        <v>181</v>
      </c>
      <c r="E34" t="s">
        <v>182</v>
      </c>
    </row>
    <row r="35" spans="2:5" ht="17.25">
      <c r="D35" s="71" t="s">
        <v>175</v>
      </c>
      <c r="E35" s="147" t="str">
        <f>'MisC Cal-1'!G146</f>
        <v>50/1, wfAvBwc †ivW, bqvcëb, XvKv|</v>
      </c>
    </row>
  </sheetData>
  <sheetProtection algorithmName="SHA-512" hashValue="pvRmXFhiOp6a33R1WiTVaTTTR56bbNqN/Nrm3BK+2/tAV7zfKWxstGUw+TKuPWPC4xA1b4shFFhiEui3GlrjbQ==" saltValue="DRS1l4wbFj2wtLkD8kwoVA==" spinCount="100000" sheet="1" objects="1" scenarios="1"/>
  <mergeCells count="11">
    <mergeCell ref="A14:D14"/>
    <mergeCell ref="A3:B3"/>
    <mergeCell ref="A4:F4"/>
    <mergeCell ref="E7:F7"/>
    <mergeCell ref="B8:F8"/>
    <mergeCell ref="A11:F11"/>
    <mergeCell ref="A15:D15"/>
    <mergeCell ref="A16:D16"/>
    <mergeCell ref="A18:F18"/>
    <mergeCell ref="A20:F20"/>
    <mergeCell ref="A22:F22"/>
  </mergeCells>
  <printOptions horizontalCentered="1" verticalCentered="1"/>
  <pageMargins left="0.85" right="0.4" top="0.75" bottom="0.75" header="0.3" footer="0.3"/>
  <pageSetup paperSize="9" scale="8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E77ADD5-0228-49E9-B105-4BD7D20BCFD0}">
            <xm:f>'MisC Cal-1'!$E$165=FALSE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BC98-5023-4604-A415-9ED94ECE9AB6}">
  <sheetPr codeName="Sheet9">
    <tabColor rgb="FF7030A0"/>
  </sheetPr>
  <dimension ref="A1:R75"/>
  <sheetViews>
    <sheetView showGridLines="0" showRowColHeaders="0" showRuler="0" view="pageLayout" zoomScale="85" zoomScaleNormal="100" zoomScalePageLayoutView="85" workbookViewId="0">
      <selection activeCell="E1" sqref="E1"/>
    </sheetView>
  </sheetViews>
  <sheetFormatPr defaultRowHeight="12.75"/>
  <cols>
    <col min="1" max="1" width="12.140625" customWidth="1"/>
    <col min="2" max="2" width="6.85546875" customWidth="1"/>
    <col min="3" max="3" width="8" customWidth="1"/>
    <col min="4" max="4" width="9.7109375" customWidth="1"/>
    <col min="5" max="5" width="10.7109375" customWidth="1"/>
    <col min="6" max="6" width="7.28515625" customWidth="1"/>
    <col min="7" max="7" width="6.42578125" customWidth="1"/>
    <col min="8" max="8" width="10.42578125" customWidth="1"/>
    <col min="9" max="9" width="17.28515625" customWidth="1"/>
    <col min="10" max="10" width="12.140625" customWidth="1"/>
    <col min="11" max="11" width="5.85546875" customWidth="1"/>
    <col min="12" max="12" width="10" customWidth="1"/>
    <col min="14" max="14" width="8.5703125" customWidth="1"/>
    <col min="15" max="15" width="9.42578125" customWidth="1"/>
    <col min="16" max="16" width="10" customWidth="1"/>
    <col min="17" max="17" width="10.5703125" customWidth="1"/>
    <col min="18" max="18" width="13.42578125" customWidth="1"/>
  </cols>
  <sheetData>
    <row r="1" spans="1:18" ht="16.5" customHeight="1">
      <c r="J1" s="100"/>
    </row>
    <row r="2" spans="1:18" ht="12.75" customHeight="1">
      <c r="A2" s="1211" t="s">
        <v>180</v>
      </c>
      <c r="B2" s="1211"/>
      <c r="I2" s="1212" t="s">
        <v>649</v>
      </c>
      <c r="J2" s="1211" t="s">
        <v>180</v>
      </c>
      <c r="K2" s="1211"/>
      <c r="R2" s="359" t="s">
        <v>650</v>
      </c>
    </row>
    <row r="3" spans="1:18" ht="16.5">
      <c r="A3" s="1211"/>
      <c r="B3" s="1211"/>
      <c r="I3" s="1212"/>
      <c r="J3" s="1211"/>
      <c r="K3" s="1211"/>
      <c r="R3" s="209"/>
    </row>
    <row r="4" spans="1:18" ht="12" customHeight="1">
      <c r="A4" s="201"/>
      <c r="B4" s="201"/>
      <c r="I4" s="203"/>
      <c r="J4" s="201"/>
      <c r="K4" s="201"/>
      <c r="R4" s="203"/>
    </row>
    <row r="5" spans="1:18" ht="21.75" customHeight="1">
      <c r="A5" s="1210" t="s">
        <v>646</v>
      </c>
      <c r="B5" s="1210"/>
      <c r="C5" s="1210"/>
      <c r="D5" s="1210"/>
      <c r="E5" s="1210"/>
      <c r="F5" s="1210"/>
      <c r="G5" s="1210"/>
      <c r="H5" s="1210"/>
      <c r="I5" s="1210"/>
      <c r="J5" s="1210" t="s">
        <v>648</v>
      </c>
      <c r="K5" s="1210"/>
      <c r="L5" s="1210"/>
      <c r="M5" s="1210"/>
      <c r="N5" s="1210"/>
      <c r="O5" s="1210"/>
      <c r="P5" s="1210"/>
      <c r="Q5" s="1210"/>
      <c r="R5" s="1210"/>
    </row>
    <row r="6" spans="1:18" ht="18" customHeight="1">
      <c r="A6" s="1210" t="s">
        <v>273</v>
      </c>
      <c r="B6" s="1210"/>
      <c r="C6" s="1210"/>
      <c r="D6" s="1210"/>
      <c r="E6" s="1210"/>
      <c r="F6" s="1210"/>
      <c r="G6" s="1210"/>
      <c r="H6" s="1210"/>
      <c r="I6" s="1210"/>
      <c r="J6" s="1210" t="s">
        <v>273</v>
      </c>
      <c r="K6" s="1210"/>
      <c r="L6" s="1210"/>
      <c r="M6" s="1210"/>
      <c r="N6" s="1210"/>
      <c r="O6" s="1210"/>
      <c r="P6" s="1210"/>
      <c r="Q6" s="1210"/>
      <c r="R6" s="1210"/>
    </row>
    <row r="7" spans="1:18" ht="12" customHeight="1">
      <c r="E7" s="202"/>
      <c r="N7" s="202"/>
    </row>
    <row r="8" spans="1:18" ht="18" customHeight="1">
      <c r="A8" s="205" t="s">
        <v>360</v>
      </c>
      <c r="B8" s="208" t="str">
        <f>"ïbvbx/"&amp;'Data Input'!F4&amp;"/mv-"&amp;'Data Input'!K4&amp;"/"&amp;'Data Input'!K25&amp;"/"</f>
        <v>ïbvbx/387493583464/mv-16/0/</v>
      </c>
      <c r="H8" s="207" t="s">
        <v>42</v>
      </c>
      <c r="I8" s="204" t="str">
        <f>TEXT('Data Input'!F5,"dd/mm/yyyy")</f>
        <v>30/12/2026</v>
      </c>
      <c r="J8" s="205" t="s">
        <v>360</v>
      </c>
      <c r="K8" s="208" t="str">
        <f>"wntewn/"&amp;'Data Input'!F4&amp;"/mv-"&amp;'Data Input'!K4&amp;"/"&amp;'Data Input'!K25&amp;"/"</f>
        <v>wntewn/387493583464/mv-16/0/</v>
      </c>
      <c r="Q8" s="207" t="s">
        <v>42</v>
      </c>
      <c r="R8" s="204" t="str">
        <f>TEXT('Data Input'!F5,"dd/mm/yyyy")</f>
        <v>30/12/2026</v>
      </c>
    </row>
    <row r="9" spans="1:18" ht="15.95" customHeight="1">
      <c r="A9" s="205" t="s">
        <v>274</v>
      </c>
      <c r="J9" s="205" t="s">
        <v>274</v>
      </c>
    </row>
    <row r="10" spans="1:18" ht="12" customHeight="1">
      <c r="A10" s="205"/>
      <c r="J10" s="205"/>
    </row>
    <row r="11" spans="1:18" ht="18" customHeight="1">
      <c r="A11" s="205" t="s">
        <v>275</v>
      </c>
      <c r="B11" s="360" t="str">
        <f>'Data Input'!D6</f>
        <v>Rbve †gvt bvCg nvmvb</v>
      </c>
      <c r="J11" s="205" t="s">
        <v>275</v>
      </c>
      <c r="K11" s="360" t="str">
        <f>'Data Input'!D6</f>
        <v>Rbve †gvt bvCg nvmvb</v>
      </c>
    </row>
    <row r="12" spans="1:18" ht="35.1" customHeight="1">
      <c r="A12" s="206" t="s">
        <v>175</v>
      </c>
      <c r="B12" s="1180" t="str">
        <f>'Data Input'!D7</f>
        <v xml:space="preserve"> </v>
      </c>
      <c r="C12" s="1180"/>
      <c r="D12" s="1180"/>
      <c r="E12" s="1180"/>
      <c r="F12" s="1180"/>
      <c r="G12" s="1180"/>
      <c r="H12" s="1180"/>
      <c r="I12" s="1180"/>
      <c r="J12" s="206" t="s">
        <v>175</v>
      </c>
      <c r="K12" s="1217" t="str">
        <f>'Data Input'!D7</f>
        <v xml:space="preserve"> </v>
      </c>
      <c r="L12" s="1217"/>
      <c r="M12" s="1217"/>
      <c r="N12" s="1217"/>
      <c r="O12" s="1217"/>
      <c r="P12" s="1217"/>
      <c r="Q12" s="1217"/>
      <c r="R12" s="1217"/>
    </row>
    <row r="13" spans="1:18" ht="12" customHeight="1">
      <c r="A13" s="206"/>
      <c r="B13" s="200"/>
      <c r="C13" s="200"/>
      <c r="D13" s="200"/>
      <c r="E13" s="200"/>
      <c r="F13" s="200"/>
      <c r="G13" s="200"/>
      <c r="H13" s="200"/>
      <c r="I13" s="200"/>
      <c r="J13" s="206"/>
      <c r="K13" s="200"/>
      <c r="L13" s="200"/>
      <c r="M13" s="200"/>
      <c r="N13" s="200"/>
      <c r="O13" s="200"/>
      <c r="P13" s="200"/>
      <c r="Q13" s="200"/>
      <c r="R13" s="200"/>
    </row>
    <row r="14" spans="1:18" ht="15.95" customHeight="1">
      <c r="A14" s="205" t="s">
        <v>276</v>
      </c>
      <c r="B14" s="208" t="str">
        <f>'Data Input'!F4&amp;"/Ktmvt-"&amp;'Data Input'!K4</f>
        <v>387493583464/Ktmvt-16</v>
      </c>
      <c r="J14" s="205" t="s">
        <v>276</v>
      </c>
      <c r="K14" s="208" t="str">
        <f>'Data Input'!F4&amp;"/Ktmvt-"&amp;'Data Input'!K4</f>
        <v>387493583464/Ktmvt-16</v>
      </c>
    </row>
    <row r="15" spans="1:18" ht="15.95" customHeight="1">
      <c r="A15" s="205" t="s">
        <v>277</v>
      </c>
      <c r="B15" s="149" t="str">
        <f>'Data Input'!D4</f>
        <v>2025-26</v>
      </c>
      <c r="J15" s="205" t="s">
        <v>277</v>
      </c>
      <c r="K15" s="149" t="str">
        <f>'Data Input'!D4</f>
        <v>2025-26</v>
      </c>
    </row>
    <row r="16" spans="1:18" ht="12" customHeight="1">
      <c r="A16" s="104"/>
      <c r="J16" s="104"/>
    </row>
    <row r="17" spans="1:18" ht="17.100000000000001" customHeight="1">
      <c r="A17" s="1215" t="s">
        <v>641</v>
      </c>
      <c r="B17" s="1215"/>
      <c r="C17" s="1215"/>
      <c r="D17" s="1215"/>
      <c r="E17" s="1215"/>
      <c r="F17" s="1215"/>
      <c r="G17" s="1215"/>
      <c r="H17" s="1215"/>
      <c r="I17" s="1215"/>
      <c r="J17" s="1216" t="s">
        <v>647</v>
      </c>
      <c r="K17" s="1216"/>
      <c r="L17" s="1216"/>
      <c r="M17" s="1216"/>
      <c r="N17" s="1216"/>
      <c r="O17" s="1216"/>
      <c r="P17" s="1216"/>
      <c r="Q17" s="1216"/>
      <c r="R17" s="1216"/>
    </row>
    <row r="18" spans="1:18" ht="16.5" customHeight="1">
      <c r="A18" s="1215"/>
      <c r="B18" s="1215"/>
      <c r="C18" s="1215"/>
      <c r="D18" s="1215"/>
      <c r="J18" s="1216" t="s">
        <v>651</v>
      </c>
      <c r="K18" s="1216"/>
      <c r="L18" s="1216"/>
      <c r="M18" s="1216"/>
      <c r="N18" s="1216"/>
      <c r="O18" s="1216"/>
      <c r="P18" s="1216"/>
      <c r="Q18" s="1216"/>
      <c r="R18" s="1216"/>
    </row>
    <row r="19" spans="1:18" ht="17.100000000000001" customHeight="1">
      <c r="A19" s="1213" t="str">
        <f>"AZGe  "&amp;TEXT('MisC Intrst-3'!L26,"dd/mm/yyyy")&amp;" ZvwiL †ejv    11:00   NwUKvq Avcwb ¯^qs A_ev AvqKi AvBb, 2023 Gi 327 aviv Abyhvqx "</f>
        <v xml:space="preserve">AZGe  21/01/2027 ZvwiL †ejv    11:00   NwUKvq Avcwb ¯^qs A_ev AvqKi AvBb, 2023 Gi 327 aviv Abyhvqx </v>
      </c>
      <c r="B19" s="1213"/>
      <c r="C19" s="1213"/>
      <c r="D19" s="1213"/>
      <c r="E19" s="1213"/>
      <c r="F19" s="1213"/>
      <c r="G19" s="1213"/>
      <c r="H19" s="1213"/>
      <c r="I19" s="1213"/>
      <c r="J19" s="1216" t="s">
        <v>652</v>
      </c>
      <c r="K19" s="1216"/>
      <c r="L19" s="1216"/>
      <c r="M19" s="1216"/>
      <c r="N19" s="1216"/>
      <c r="O19" s="1216"/>
      <c r="P19" s="1216"/>
      <c r="Q19" s="1216"/>
      <c r="R19" s="1216"/>
    </row>
    <row r="20" spans="1:18" ht="17.100000000000001" customHeight="1">
      <c r="A20" s="1213" t="s">
        <v>642</v>
      </c>
      <c r="B20" s="1213"/>
      <c r="C20" s="1213"/>
      <c r="D20" s="1213"/>
      <c r="E20" s="1213"/>
      <c r="F20" s="1213"/>
      <c r="G20" s="1213"/>
      <c r="H20" s="1213"/>
      <c r="I20" s="1213"/>
      <c r="J20" s="1216" t="str">
        <f>"AewnZ Kiv hvB‡Z‡Q †h, wb¤œ¯^vÿiKvixi Awd‡m "&amp;TEXT('MisC Intrst-3'!L26,"dd/mm/yyyy")&amp;" wLª. ZvwiL c~e©vý/Acivý 11:00 NwUKvq "</f>
        <v xml:space="preserve">AewnZ Kiv hvB‡Z‡Q †h, wb¤œ¯^vÿiKvixi Awd‡m 21/01/2027 wLª. ZvwiL c~e©vý/Acivý 11:00 NwUKvq </v>
      </c>
      <c r="K20" s="1216"/>
      <c r="L20" s="1216"/>
      <c r="M20" s="1216"/>
      <c r="N20" s="1216"/>
      <c r="O20" s="1216"/>
      <c r="P20" s="1216"/>
      <c r="Q20" s="1216"/>
      <c r="R20" s="1216"/>
    </row>
    <row r="21" spans="1:18" ht="17.100000000000001" customHeight="1">
      <c r="A21" s="1215" t="s">
        <v>643</v>
      </c>
      <c r="B21" s="1215"/>
      <c r="C21" s="1215"/>
      <c r="D21" s="1215"/>
      <c r="E21" s="1215"/>
      <c r="F21" s="1215"/>
      <c r="G21" s="1215"/>
      <c r="H21" s="1215"/>
      <c r="I21" s="1215"/>
      <c r="J21" s="1214" t="s">
        <v>653</v>
      </c>
      <c r="K21" s="1214"/>
      <c r="L21" s="1214"/>
      <c r="M21" s="1214"/>
      <c r="N21" s="1214"/>
      <c r="O21" s="1214"/>
      <c r="P21" s="1214"/>
      <c r="Q21" s="1214"/>
      <c r="R21" s="1214"/>
    </row>
    <row r="22" spans="1:18" ht="15.75" customHeight="1">
      <c r="A22" s="101"/>
      <c r="J22" s="101"/>
    </row>
    <row r="23" spans="1:18" ht="15.95" customHeight="1">
      <c r="A23" s="1213" t="s">
        <v>644</v>
      </c>
      <c r="B23" s="1213"/>
      <c r="C23" s="1213"/>
      <c r="D23" s="1213"/>
      <c r="E23" s="1213"/>
      <c r="F23" s="1213"/>
      <c r="G23" s="1213"/>
      <c r="H23" s="1213"/>
      <c r="I23" s="1213"/>
      <c r="J23" s="1216" t="s">
        <v>654</v>
      </c>
      <c r="K23" s="1216"/>
      <c r="L23" s="1216"/>
      <c r="M23" s="1216"/>
      <c r="N23" s="1216"/>
      <c r="O23" s="1216"/>
      <c r="P23" s="1216"/>
      <c r="Q23" s="1216"/>
      <c r="R23" s="1216"/>
    </row>
    <row r="24" spans="1:18" ht="17.100000000000001" customHeight="1">
      <c r="A24" s="1215" t="s">
        <v>645</v>
      </c>
      <c r="B24" s="1215"/>
      <c r="C24" s="1215"/>
      <c r="D24" s="1215"/>
      <c r="E24" s="1215"/>
      <c r="F24" s="1215"/>
      <c r="G24" s="1215"/>
      <c r="H24" s="1215"/>
      <c r="I24" s="1215"/>
      <c r="J24" s="1214" t="s">
        <v>655</v>
      </c>
      <c r="K24" s="1214"/>
      <c r="L24" s="1214"/>
      <c r="M24" s="1214"/>
      <c r="N24" s="1214"/>
      <c r="O24" s="1214"/>
      <c r="P24" s="1214"/>
      <c r="Q24" s="1214"/>
      <c r="R24" s="1214"/>
    </row>
    <row r="25" spans="1:18" ht="17.100000000000001" customHeight="1">
      <c r="A25" s="101"/>
      <c r="J25" s="101"/>
    </row>
    <row r="26" spans="1:18" ht="17.100000000000001" customHeight="1">
      <c r="A26" s="101"/>
      <c r="J26" s="210" t="s">
        <v>656</v>
      </c>
      <c r="K26" s="101"/>
      <c r="L26" s="101"/>
      <c r="M26" s="101"/>
    </row>
    <row r="27" spans="1:18" ht="17.100000000000001" customHeight="1">
      <c r="A27" s="105"/>
      <c r="B27" s="105"/>
      <c r="C27" s="105"/>
      <c r="D27" s="105"/>
      <c r="J27" s="211" t="s">
        <v>676</v>
      </c>
      <c r="K27" s="361"/>
      <c r="L27" s="361"/>
      <c r="M27" s="105"/>
    </row>
    <row r="28" spans="1:18" ht="17.100000000000001" customHeight="1">
      <c r="A28" s="105"/>
      <c r="B28" s="105"/>
      <c r="C28" s="105"/>
      <c r="D28" s="105"/>
      <c r="J28" s="211" t="s">
        <v>677</v>
      </c>
      <c r="K28" s="361"/>
      <c r="L28" s="361"/>
      <c r="M28" s="105"/>
    </row>
    <row r="29" spans="1:18" ht="17.100000000000001" customHeight="1">
      <c r="A29" s="101"/>
      <c r="J29" s="211" t="s">
        <v>678</v>
      </c>
      <c r="K29" s="361"/>
      <c r="L29" s="361"/>
      <c r="M29" s="105"/>
    </row>
    <row r="30" spans="1:18" ht="15" customHeight="1">
      <c r="A30" s="101"/>
      <c r="J30" s="211" t="s">
        <v>679</v>
      </c>
      <c r="K30" s="361"/>
      <c r="L30" s="361"/>
      <c r="M30" s="105"/>
    </row>
    <row r="31" spans="1:18" ht="17.100000000000001" customHeight="1">
      <c r="H31" s="202" t="s">
        <v>266</v>
      </c>
      <c r="J31" s="211" t="s">
        <v>680</v>
      </c>
      <c r="K31" s="361"/>
      <c r="L31" s="361"/>
      <c r="M31" s="105"/>
      <c r="Q31" s="202" t="s">
        <v>266</v>
      </c>
    </row>
    <row r="32" spans="1:18" ht="15" customHeight="1">
      <c r="H32" s="303" t="s">
        <v>267</v>
      </c>
      <c r="J32" s="211" t="s">
        <v>681</v>
      </c>
      <c r="K32" s="361"/>
      <c r="L32" s="361"/>
      <c r="M32" s="105"/>
      <c r="Q32" s="303" t="s">
        <v>267</v>
      </c>
    </row>
    <row r="33" spans="1:16" ht="17.100000000000001" customHeight="1">
      <c r="J33" s="147" t="s">
        <v>682</v>
      </c>
      <c r="K33" s="361"/>
      <c r="L33" s="361"/>
      <c r="M33" s="105"/>
    </row>
    <row r="34" spans="1:16" ht="17.100000000000001" customHeight="1">
      <c r="K34" s="23"/>
      <c r="L34" s="23"/>
    </row>
    <row r="35" spans="1:16" ht="17.100000000000001" customHeight="1">
      <c r="K35" s="23"/>
      <c r="L35" s="23"/>
    </row>
    <row r="36" spans="1:16" ht="17.100000000000001" customHeight="1"/>
    <row r="37" spans="1:16" ht="17.100000000000001" customHeight="1"/>
    <row r="38" spans="1:16" ht="17.100000000000001" customHeight="1"/>
    <row r="39" spans="1:16" ht="17.100000000000001" customHeight="1"/>
    <row r="40" spans="1:16" ht="17.100000000000001" customHeight="1"/>
    <row r="41" spans="1:16" ht="17.25" customHeight="1">
      <c r="F41" s="109"/>
      <c r="G41" s="25" t="str">
        <f>'MisC Cal-1'!D146</f>
        <v>†dvbt 02-2222244444</v>
      </c>
      <c r="O41" s="109"/>
      <c r="P41" s="25" t="str">
        <f>'MisC Cal-1'!D146</f>
        <v>†dvbt 02-2222244444</v>
      </c>
    </row>
    <row r="42" spans="1:16" ht="18.75" customHeight="1">
      <c r="A42" s="108" t="s">
        <v>183</v>
      </c>
      <c r="F42" s="109" t="s">
        <v>285</v>
      </c>
      <c r="G42" t="s">
        <v>286</v>
      </c>
      <c r="J42" s="108" t="s">
        <v>183</v>
      </c>
      <c r="K42" s="23"/>
      <c r="L42" s="23"/>
      <c r="O42" s="109" t="s">
        <v>285</v>
      </c>
      <c r="P42" t="s">
        <v>286</v>
      </c>
    </row>
    <row r="43" spans="1:16" ht="16.5">
      <c r="F43" s="109" t="s">
        <v>87</v>
      </c>
      <c r="G43" s="38" t="str">
        <f>'MisC Cal-1'!G146</f>
        <v>50/1, wfAvBwc †ivW, bqvcëb, XvKv|</v>
      </c>
      <c r="O43" s="109" t="s">
        <v>87</v>
      </c>
      <c r="P43" s="38" t="str">
        <f>'MisC Cal-1'!G146</f>
        <v>50/1, wfAvBwc †ivW, bqvcëb, XvKv|</v>
      </c>
    </row>
    <row r="45" spans="1:16" ht="13.9" customHeight="1"/>
    <row r="46" spans="1:16" ht="12" customHeight="1"/>
    <row r="49" ht="11.25" customHeight="1"/>
    <row r="52" ht="9.75" customHeight="1"/>
    <row r="54" ht="34.5" customHeight="1"/>
    <row r="55" ht="11.25" customHeight="1"/>
    <row r="58" ht="12.75" customHeight="1"/>
    <row r="64" ht="18.75" customHeight="1"/>
    <row r="65" ht="11.25" customHeight="1"/>
    <row r="66" ht="18.75" customHeight="1"/>
    <row r="68" ht="18.75" customHeight="1"/>
    <row r="72" ht="11.25" customHeight="1"/>
    <row r="74" ht="15" customHeight="1"/>
    <row r="75" ht="17.25" customHeight="1"/>
  </sheetData>
  <mergeCells count="23">
    <mergeCell ref="A23:I23"/>
    <mergeCell ref="J24:R24"/>
    <mergeCell ref="A24:I24"/>
    <mergeCell ref="J23:R23"/>
    <mergeCell ref="K12:R12"/>
    <mergeCell ref="A20:I20"/>
    <mergeCell ref="B12:I12"/>
    <mergeCell ref="A21:I21"/>
    <mergeCell ref="J21:R21"/>
    <mergeCell ref="A19:I19"/>
    <mergeCell ref="A17:I17"/>
    <mergeCell ref="J18:R18"/>
    <mergeCell ref="J17:R17"/>
    <mergeCell ref="A18:D18"/>
    <mergeCell ref="J20:R20"/>
    <mergeCell ref="J19:R19"/>
    <mergeCell ref="A6:I6"/>
    <mergeCell ref="J6:R6"/>
    <mergeCell ref="A2:B3"/>
    <mergeCell ref="J2:K3"/>
    <mergeCell ref="I2:I3"/>
    <mergeCell ref="J5:R5"/>
    <mergeCell ref="A5:I5"/>
  </mergeCells>
  <printOptions horizontalCentered="1" verticalCentered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9</xdr:col>
                    <xdr:colOff>28575</xdr:colOff>
                    <xdr:row>27</xdr:row>
                    <xdr:rowOff>0</xdr:rowOff>
                  </from>
                  <to>
                    <xdr:col>9</xdr:col>
                    <xdr:colOff>247650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9</xdr:col>
                    <xdr:colOff>28575</xdr:colOff>
                    <xdr:row>28</xdr:row>
                    <xdr:rowOff>0</xdr:rowOff>
                  </from>
                  <to>
                    <xdr:col>9</xdr:col>
                    <xdr:colOff>247650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9</xdr:col>
                    <xdr:colOff>28575</xdr:colOff>
                    <xdr:row>29</xdr:row>
                    <xdr:rowOff>0</xdr:rowOff>
                  </from>
                  <to>
                    <xdr:col>9</xdr:col>
                    <xdr:colOff>247650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9</xdr:col>
                    <xdr:colOff>28575</xdr:colOff>
                    <xdr:row>30</xdr:row>
                    <xdr:rowOff>0</xdr:rowOff>
                  </from>
                  <to>
                    <xdr:col>9</xdr:col>
                    <xdr:colOff>247650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9</xdr:col>
                    <xdr:colOff>28575</xdr:colOff>
                    <xdr:row>31</xdr:row>
                    <xdr:rowOff>0</xdr:rowOff>
                  </from>
                  <to>
                    <xdr:col>9</xdr:col>
                    <xdr:colOff>247650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9</xdr:col>
                    <xdr:colOff>28575</xdr:colOff>
                    <xdr:row>32</xdr:row>
                    <xdr:rowOff>0</xdr:rowOff>
                  </from>
                  <to>
                    <xdr:col>9</xdr:col>
                    <xdr:colOff>247650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9</xdr:col>
                    <xdr:colOff>28575</xdr:colOff>
                    <xdr:row>26</xdr:row>
                    <xdr:rowOff>0</xdr:rowOff>
                  </from>
                  <to>
                    <xdr:col>9</xdr:col>
                    <xdr:colOff>247650</xdr:colOff>
                    <xdr:row>27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7328EA6-F40D-43E2-A1CE-D8DFCF2C5F9E}">
            <xm:f>'MisC Cal-1'!$H$161=FALSE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A1:I45</xm:sqref>
        </x14:conditionalFormatting>
        <x14:conditionalFormatting xmlns:xm="http://schemas.microsoft.com/office/excel/2006/main">
          <x14:cfRule type="expression" priority="2" id="{D48C2299-6E5A-495E-AF8A-D638DCA6C1DB}">
            <xm:f>'MisC Cal-1'!$H$162=FALSE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J1:R10 J11 L11:R11 J12:R45</xm:sqref>
        </x14:conditionalFormatting>
        <x14:conditionalFormatting xmlns:xm="http://schemas.microsoft.com/office/excel/2006/main">
          <x14:cfRule type="expression" priority="1" id="{E2E154E1-BF38-4844-9E8B-246506FC8ABA}">
            <xm:f>'MisC Cal-1'!$H$161=FALSE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K11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151-4BA6-49BD-8BE2-0D2C816D70D7}">
  <sheetPr>
    <tabColor rgb="FF99CCFF"/>
  </sheetPr>
  <dimension ref="A1:R75"/>
  <sheetViews>
    <sheetView showGridLines="0" showRuler="0" view="pageLayout" zoomScale="80" zoomScaleNormal="100" zoomScalePageLayoutView="80" workbookViewId="0">
      <selection activeCell="A25" sqref="A25:I25"/>
    </sheetView>
  </sheetViews>
  <sheetFormatPr defaultRowHeight="12.75"/>
  <cols>
    <col min="1" max="1" width="11.5703125" customWidth="1"/>
    <col min="9" max="9" width="13.5703125" customWidth="1"/>
    <col min="10" max="10" width="11.5703125" customWidth="1"/>
    <col min="11" max="11" width="7" customWidth="1"/>
    <col min="12" max="12" width="9.5703125" customWidth="1"/>
    <col min="13" max="13" width="10.28515625" customWidth="1"/>
    <col min="14" max="14" width="9.42578125" customWidth="1"/>
    <col min="15" max="15" width="9.85546875" customWidth="1"/>
    <col min="16" max="16" width="10.7109375" customWidth="1"/>
    <col min="17" max="17" width="8.5703125" customWidth="1"/>
    <col min="18" max="18" width="11.85546875" customWidth="1"/>
  </cols>
  <sheetData>
    <row r="1" spans="1:18" ht="16.5" customHeight="1">
      <c r="A1" s="100"/>
    </row>
    <row r="2" spans="1:18" ht="12.75" customHeight="1">
      <c r="A2" s="1211" t="s">
        <v>180</v>
      </c>
      <c r="B2" s="1211"/>
      <c r="I2" s="359" t="s">
        <v>661</v>
      </c>
      <c r="J2" s="1211" t="s">
        <v>180</v>
      </c>
      <c r="K2" s="1211"/>
      <c r="R2" s="359" t="s">
        <v>684</v>
      </c>
    </row>
    <row r="3" spans="1:18" ht="16.5">
      <c r="A3" s="1211"/>
      <c r="B3" s="1211"/>
      <c r="I3" s="209"/>
      <c r="J3" s="1211"/>
      <c r="K3" s="1211"/>
    </row>
    <row r="4" spans="1:18" ht="12" customHeight="1">
      <c r="A4" s="201"/>
      <c r="B4" s="201"/>
      <c r="I4" s="203"/>
      <c r="J4" s="201"/>
      <c r="K4" s="201"/>
    </row>
    <row r="5" spans="1:18" ht="21.75" customHeight="1">
      <c r="A5" s="1210" t="s">
        <v>660</v>
      </c>
      <c r="B5" s="1210"/>
      <c r="C5" s="1210"/>
      <c r="D5" s="1210"/>
      <c r="E5" s="1210"/>
      <c r="F5" s="1210"/>
      <c r="G5" s="1210"/>
      <c r="H5" s="1210"/>
      <c r="I5" s="1210"/>
      <c r="J5" s="1210" t="s">
        <v>683</v>
      </c>
      <c r="K5" s="1210"/>
      <c r="L5" s="1210"/>
      <c r="M5" s="1210"/>
      <c r="N5" s="1210"/>
      <c r="O5" s="1210"/>
      <c r="P5" s="1210"/>
      <c r="Q5" s="1210"/>
      <c r="R5" s="1210"/>
    </row>
    <row r="6" spans="1:18" ht="18" customHeight="1">
      <c r="A6" s="1210" t="s">
        <v>273</v>
      </c>
      <c r="B6" s="1210"/>
      <c r="C6" s="1210"/>
      <c r="D6" s="1210"/>
      <c r="E6" s="1210"/>
      <c r="F6" s="1210"/>
      <c r="G6" s="1210"/>
      <c r="H6" s="1210"/>
      <c r="I6" s="1210"/>
      <c r="J6" s="1210" t="s">
        <v>273</v>
      </c>
      <c r="K6" s="1210"/>
      <c r="L6" s="1210"/>
      <c r="M6" s="1210"/>
      <c r="N6" s="1210"/>
      <c r="O6" s="1210"/>
      <c r="P6" s="1210"/>
      <c r="Q6" s="1210"/>
      <c r="R6" s="1210"/>
    </row>
    <row r="7" spans="1:18" ht="12" customHeight="1">
      <c r="E7" s="202"/>
      <c r="N7" s="202"/>
    </row>
    <row r="8" spans="1:18" ht="18" customHeight="1">
      <c r="A8" s="205" t="s">
        <v>360</v>
      </c>
      <c r="B8" s="208" t="str">
        <f>"wit`vt/"&amp;'Data Input'!F4&amp;"/mv-"&amp;'Data Input'!K4&amp;"/"&amp;'Data Input'!K25&amp;"/"</f>
        <v>wit`vt/387493583464/mv-16/0/</v>
      </c>
      <c r="H8" s="207" t="s">
        <v>42</v>
      </c>
      <c r="I8" s="204" t="str">
        <f>TEXT('Data Input'!F5,"dd/mm/yyyy")</f>
        <v>30/12/2026</v>
      </c>
      <c r="J8" s="101" t="s">
        <v>360</v>
      </c>
      <c r="K8" s="21" t="str">
        <f>"Rwigvbv/"&amp;'Data Input'!F4&amp;"/mv-"&amp;'Data Input'!K4&amp;"/"&amp;'Data Input'!K25&amp;"/"</f>
        <v>Rwigvbv/387493583464/mv-16/0/</v>
      </c>
      <c r="Q8" s="102" t="s">
        <v>42</v>
      </c>
      <c r="R8" s="282" t="str">
        <f>TEXT('Data Input'!F5,"dd/mm/yyyy")</f>
        <v>30/12/2026</v>
      </c>
    </row>
    <row r="9" spans="1:18" ht="15.95" customHeight="1">
      <c r="A9" s="205" t="s">
        <v>274</v>
      </c>
      <c r="J9" s="101" t="s">
        <v>274</v>
      </c>
      <c r="K9" s="23" t="s">
        <v>685</v>
      </c>
    </row>
    <row r="10" spans="1:18" ht="12" customHeight="1">
      <c r="A10" s="205"/>
      <c r="J10" s="101"/>
    </row>
    <row r="11" spans="1:18" ht="18" customHeight="1">
      <c r="A11" s="205" t="s">
        <v>275</v>
      </c>
      <c r="B11" s="360" t="str">
        <f>'Data Input'!D6</f>
        <v>Rbve †gvt bvCg nvmvb</v>
      </c>
      <c r="J11" s="101" t="s">
        <v>275</v>
      </c>
      <c r="K11" s="360" t="str">
        <f>'Data Input'!D6</f>
        <v>Rbve †gvt bvCg nvmvb</v>
      </c>
    </row>
    <row r="12" spans="1:18" ht="30" customHeight="1">
      <c r="A12" s="206" t="s">
        <v>175</v>
      </c>
      <c r="B12" s="1176" t="str">
        <f>'Data Input'!D7</f>
        <v xml:space="preserve"> </v>
      </c>
      <c r="C12" s="1176"/>
      <c r="D12" s="1176"/>
      <c r="E12" s="1176"/>
      <c r="F12" s="1176"/>
      <c r="G12" s="1176"/>
      <c r="H12" s="1176"/>
      <c r="I12" s="1176"/>
      <c r="J12" s="150" t="s">
        <v>175</v>
      </c>
      <c r="K12" s="1176" t="str">
        <f>'Data Input'!D7</f>
        <v xml:space="preserve"> </v>
      </c>
      <c r="L12" s="1176"/>
      <c r="M12" s="1176"/>
      <c r="N12" s="1176"/>
      <c r="O12" s="1176"/>
      <c r="P12" s="1176"/>
      <c r="Q12" s="1176"/>
      <c r="R12" s="1176"/>
    </row>
    <row r="13" spans="1:18" ht="12" customHeight="1">
      <c r="A13" s="206"/>
      <c r="B13" s="200"/>
      <c r="C13" s="200"/>
      <c r="D13" s="200"/>
      <c r="E13" s="200"/>
      <c r="F13" s="200"/>
      <c r="G13" s="200"/>
      <c r="H13" s="200"/>
      <c r="I13" s="200"/>
      <c r="J13" s="150"/>
      <c r="K13" s="200"/>
      <c r="L13" s="200"/>
      <c r="M13" s="200"/>
      <c r="N13" s="200"/>
      <c r="O13" s="200"/>
      <c r="P13" s="200"/>
      <c r="Q13" s="200"/>
      <c r="R13" s="200"/>
    </row>
    <row r="14" spans="1:18" ht="15.95" customHeight="1">
      <c r="A14" s="205" t="s">
        <v>276</v>
      </c>
      <c r="B14" s="208" t="str">
        <f>'Data Input'!F4&amp;"/Ktmvt-"&amp;'Data Input'!K4</f>
        <v>387493583464/Ktmvt-16</v>
      </c>
      <c r="J14" s="101" t="s">
        <v>276</v>
      </c>
      <c r="K14" s="21" t="str">
        <f>'Data Input'!F4&amp;"/Ktmvt-"&amp;'Data Input'!K4</f>
        <v>387493583464/Ktmvt-16</v>
      </c>
    </row>
    <row r="15" spans="1:18" ht="15.95" customHeight="1">
      <c r="A15" s="205" t="s">
        <v>277</v>
      </c>
      <c r="B15" s="149" t="str">
        <f>'Data Input'!D4</f>
        <v>2025-26</v>
      </c>
      <c r="J15" s="101" t="s">
        <v>277</v>
      </c>
      <c r="K15" s="149" t="str">
        <f>'Data Input'!D4</f>
        <v>2025-26</v>
      </c>
    </row>
    <row r="16" spans="1:18" ht="12" customHeight="1">
      <c r="A16" s="104"/>
      <c r="J16" s="104"/>
    </row>
    <row r="17" spans="1:18" ht="17.100000000000001" customHeight="1">
      <c r="A17" s="1216" t="str">
        <f>"  1) GB Kvh©vj‡qi †iKW© †gvZv‡eK Avcwb/ Avcbvi "&amp;B15&amp;" Gi DwjøwLZ "</f>
        <v xml:space="preserve">  1) GB Kvh©vj‡qi †iKW© †gvZv‡eK Avcwb/ Avcbvi 2025-26 Gi DwjøwLZ </v>
      </c>
      <c r="B17" s="1216"/>
      <c r="C17" s="1216"/>
      <c r="D17" s="1216"/>
      <c r="E17" s="1216"/>
      <c r="F17" s="1216"/>
      <c r="G17" s="1216"/>
      <c r="H17" s="1216"/>
      <c r="I17" s="1216"/>
      <c r="J17" s="1219" t="s">
        <v>686</v>
      </c>
      <c r="K17" s="1219"/>
      <c r="L17" s="1219"/>
      <c r="M17" s="1219"/>
      <c r="N17" s="1219"/>
      <c r="O17" s="1219"/>
      <c r="P17" s="1219"/>
      <c r="Q17" s="1219"/>
      <c r="R17" s="1219"/>
    </row>
    <row r="18" spans="1:18" ht="16.5" customHeight="1">
      <c r="A18" s="1214" t="s">
        <v>669</v>
      </c>
      <c r="B18" s="1214"/>
      <c r="C18" s="1214"/>
      <c r="D18" s="1214"/>
      <c r="E18" s="1214"/>
      <c r="F18" s="1214"/>
      <c r="G18" s="1214"/>
      <c r="H18" s="1214"/>
      <c r="I18" s="1214"/>
      <c r="J18" s="1215"/>
      <c r="K18" s="1215"/>
      <c r="L18" s="1215"/>
      <c r="M18" s="1215"/>
      <c r="N18" s="1215"/>
      <c r="O18" s="1215"/>
      <c r="P18" s="1215"/>
      <c r="Q18" s="1215"/>
      <c r="R18" s="1215"/>
    </row>
    <row r="19" spans="1:18" ht="17.100000000000001" customHeight="1">
      <c r="A19" s="1216" t="s">
        <v>670</v>
      </c>
      <c r="B19" s="1216"/>
      <c r="C19" s="1216"/>
      <c r="D19" s="1216"/>
      <c r="E19" s="1216"/>
      <c r="F19" s="1216"/>
      <c r="G19" s="1216"/>
      <c r="H19" s="1216"/>
      <c r="I19" s="1216"/>
      <c r="J19" s="1219" t="s">
        <v>687</v>
      </c>
      <c r="K19" s="1219"/>
      <c r="L19" s="1219"/>
      <c r="M19" s="1219"/>
      <c r="N19" s="1219"/>
      <c r="O19" s="1219"/>
      <c r="P19" s="1219"/>
      <c r="Q19" s="1219"/>
      <c r="R19" s="1219"/>
    </row>
    <row r="20" spans="1:18" ht="17.100000000000001" customHeight="1">
      <c r="A20" s="1216" t="s">
        <v>662</v>
      </c>
      <c r="B20" s="1216"/>
      <c r="C20" s="1216"/>
      <c r="D20" s="1216"/>
      <c r="E20" s="1216"/>
      <c r="F20" s="1216"/>
      <c r="G20" s="1216"/>
      <c r="H20" s="1216"/>
      <c r="I20" s="1216"/>
      <c r="J20" s="1219" t="s">
        <v>688</v>
      </c>
      <c r="K20" s="1219"/>
      <c r="L20" s="1219"/>
      <c r="M20" s="1219"/>
      <c r="N20" s="1219"/>
      <c r="O20" s="1219"/>
      <c r="P20" s="1219"/>
      <c r="Q20" s="1219"/>
      <c r="R20" s="1219"/>
    </row>
    <row r="21" spans="1:18" ht="17.100000000000001" customHeight="1">
      <c r="A21" s="1216" t="e">
        <f>"          ¯^v¶ic~e©K Zvnv GB †bvwUk cÖvwßi 22 w`‡bi g‡a¨ A_ev "&amp;TEXT((I8+22),"dd/mm/yyyy")&amp;" Zvwi‡Li c~‡e© wbgœ¯^v¶iKvixi"</f>
        <v>#VALUE!</v>
      </c>
      <c r="B21" s="1216"/>
      <c r="C21" s="1216"/>
      <c r="D21" s="1216"/>
      <c r="E21" s="1216"/>
      <c r="F21" s="1216"/>
      <c r="G21" s="1216"/>
      <c r="H21" s="1216"/>
      <c r="I21" s="1216"/>
      <c r="J21" s="1218" t="s">
        <v>689</v>
      </c>
      <c r="K21" s="1218"/>
      <c r="L21" s="1218"/>
      <c r="M21" s="1218"/>
      <c r="N21" s="1218"/>
      <c r="O21" s="1218"/>
      <c r="P21" s="1218"/>
      <c r="Q21" s="1218"/>
      <c r="R21" s="1218"/>
    </row>
    <row r="22" spans="1:18" ht="15.75" customHeight="1">
      <c r="A22" s="1214" t="s">
        <v>663</v>
      </c>
      <c r="B22" s="1214"/>
      <c r="C22" s="1214"/>
      <c r="D22" s="1214"/>
      <c r="E22" s="1214"/>
      <c r="F22" s="1214"/>
      <c r="G22" s="1214"/>
      <c r="H22" s="1214"/>
      <c r="I22" s="1214"/>
      <c r="J22" s="1219" t="s">
        <v>690</v>
      </c>
      <c r="K22" s="1219"/>
      <c r="L22" s="1219"/>
      <c r="M22" s="1219"/>
      <c r="N22" s="1219"/>
      <c r="O22" s="1219"/>
      <c r="P22" s="1219"/>
      <c r="Q22" s="1219"/>
      <c r="R22" s="1219"/>
    </row>
    <row r="23" spans="1:18" ht="15.95" customHeight="1">
      <c r="A23" s="1216" t="s">
        <v>664</v>
      </c>
      <c r="B23" s="1216"/>
      <c r="C23" s="1216"/>
      <c r="D23" s="1216"/>
      <c r="E23" s="1216"/>
      <c r="F23" s="1216"/>
      <c r="G23" s="1216"/>
      <c r="H23" s="1216"/>
      <c r="I23" s="1216"/>
      <c r="J23" s="104" t="s">
        <v>691</v>
      </c>
      <c r="K23" s="280"/>
      <c r="L23" s="280"/>
      <c r="M23" s="280"/>
      <c r="N23" s="280"/>
      <c r="O23" s="280"/>
      <c r="P23" s="280"/>
      <c r="Q23" s="280"/>
      <c r="R23" s="280"/>
    </row>
    <row r="24" spans="1:18" ht="17.100000000000001" customHeight="1">
      <c r="A24" s="1214" t="s">
        <v>665</v>
      </c>
      <c r="B24" s="1214"/>
      <c r="C24" s="1214"/>
      <c r="D24" s="1214"/>
      <c r="E24" s="1214"/>
      <c r="F24" s="1214"/>
      <c r="G24" s="1214"/>
      <c r="H24" s="1214"/>
      <c r="I24" s="1214"/>
      <c r="J24" s="1219" t="s">
        <v>692</v>
      </c>
      <c r="K24" s="1219"/>
      <c r="L24" s="1219"/>
      <c r="M24" s="1219"/>
      <c r="N24" s="1219"/>
      <c r="O24" s="1219"/>
      <c r="P24" s="1219"/>
      <c r="Q24" s="1219"/>
      <c r="R24" s="1219"/>
    </row>
    <row r="25" spans="1:18" ht="17.100000000000001" customHeight="1">
      <c r="A25" s="1216" t="s">
        <v>666</v>
      </c>
      <c r="B25" s="1216"/>
      <c r="C25" s="1216"/>
      <c r="D25" s="1216"/>
      <c r="E25" s="1216"/>
      <c r="F25" s="1216"/>
      <c r="G25" s="1216"/>
      <c r="H25" s="1216"/>
      <c r="I25" s="1216"/>
      <c r="J25" s="1219" t="s">
        <v>693</v>
      </c>
      <c r="K25" s="1219"/>
      <c r="L25" s="1219"/>
      <c r="M25" s="1219"/>
      <c r="N25" s="1219"/>
      <c r="O25" s="1219"/>
      <c r="P25" s="1219"/>
      <c r="Q25" s="1219"/>
      <c r="R25" s="1219"/>
    </row>
    <row r="26" spans="1:18" ht="17.100000000000001" customHeight="1">
      <c r="A26" s="1216" t="s">
        <v>667</v>
      </c>
      <c r="B26" s="1216"/>
      <c r="C26" s="1216"/>
      <c r="D26" s="1216"/>
      <c r="E26" s="1216"/>
      <c r="F26" s="1216"/>
      <c r="G26" s="1216"/>
      <c r="H26" s="1216"/>
      <c r="I26" s="1216"/>
      <c r="J26" s="1219" t="s">
        <v>694</v>
      </c>
      <c r="K26" s="1219"/>
      <c r="L26" s="1219"/>
      <c r="M26" s="1219"/>
      <c r="N26" s="1219"/>
      <c r="O26" s="1219"/>
      <c r="P26" s="1219"/>
      <c r="Q26" s="1219"/>
      <c r="R26" s="1219"/>
    </row>
    <row r="27" spans="1:18" ht="17.100000000000001" customHeight="1">
      <c r="A27" s="1214" t="s">
        <v>668</v>
      </c>
      <c r="B27" s="1214"/>
      <c r="C27" s="1214"/>
      <c r="D27" s="1214"/>
      <c r="E27" s="1214"/>
      <c r="F27" s="1214"/>
      <c r="G27" s="1214"/>
      <c r="H27" s="1214"/>
      <c r="I27" s="1214"/>
      <c r="J27" s="1219" t="s">
        <v>695</v>
      </c>
      <c r="K27" s="1219"/>
      <c r="L27" s="1219"/>
      <c r="M27" s="1219"/>
      <c r="N27" s="1219"/>
      <c r="O27" s="1219"/>
      <c r="P27" s="1219"/>
      <c r="Q27" s="1219"/>
      <c r="R27" s="1219"/>
    </row>
    <row r="28" spans="1:18" ht="17.100000000000001" customHeight="1">
      <c r="A28" s="363"/>
      <c r="B28" s="361"/>
      <c r="C28" s="361"/>
      <c r="D28" s="105"/>
      <c r="J28" s="1219" t="s">
        <v>696</v>
      </c>
      <c r="K28" s="1219"/>
      <c r="L28" s="1219"/>
      <c r="M28" s="1219"/>
      <c r="N28" s="1219"/>
      <c r="O28" s="1219"/>
      <c r="P28" s="1219"/>
      <c r="Q28" s="1219"/>
      <c r="R28" s="1219"/>
    </row>
    <row r="29" spans="1:18" ht="17.100000000000001" customHeight="1">
      <c r="A29" s="363"/>
      <c r="B29" s="361"/>
      <c r="C29" s="361"/>
      <c r="D29" s="105"/>
      <c r="J29" s="1218" t="s">
        <v>697</v>
      </c>
      <c r="K29" s="1218"/>
      <c r="L29" s="1218"/>
      <c r="M29" s="1218"/>
      <c r="N29" s="1218"/>
      <c r="O29" s="1218"/>
      <c r="P29" s="1218"/>
      <c r="Q29" s="1218"/>
      <c r="R29" s="1218"/>
    </row>
    <row r="30" spans="1:18" ht="15" customHeight="1">
      <c r="A30" s="363"/>
      <c r="B30" s="361"/>
      <c r="C30" s="361"/>
      <c r="D30" s="105"/>
      <c r="J30" s="1219" t="s">
        <v>698</v>
      </c>
      <c r="K30" s="1219"/>
      <c r="L30" s="1219"/>
      <c r="M30" s="1219"/>
      <c r="N30" s="1219"/>
      <c r="O30" s="1219"/>
      <c r="P30" s="1219"/>
      <c r="Q30" s="1219"/>
      <c r="R30" s="1219"/>
    </row>
    <row r="31" spans="1:18" ht="17.100000000000001" customHeight="1">
      <c r="A31" s="363"/>
      <c r="B31" s="361"/>
      <c r="C31" s="361"/>
      <c r="D31" s="105"/>
      <c r="J31" s="1219" t="s">
        <v>699</v>
      </c>
      <c r="K31" s="1219"/>
      <c r="L31" s="1219"/>
      <c r="M31" s="1219"/>
      <c r="N31" s="1219"/>
      <c r="O31" s="1219"/>
      <c r="P31" s="1219"/>
      <c r="Q31" s="1219"/>
      <c r="R31" s="1219"/>
    </row>
    <row r="32" spans="1:18" ht="15" customHeight="1">
      <c r="A32" s="363"/>
      <c r="B32" s="361"/>
      <c r="C32" s="361"/>
      <c r="D32" s="105"/>
      <c r="H32" s="202" t="s">
        <v>266</v>
      </c>
      <c r="J32" s="364" t="s">
        <v>700</v>
      </c>
      <c r="K32" s="280"/>
      <c r="L32" s="280"/>
      <c r="M32" s="280"/>
      <c r="N32" s="280"/>
      <c r="O32" s="280"/>
      <c r="P32" s="280"/>
      <c r="Q32" s="280"/>
      <c r="R32" s="280"/>
    </row>
    <row r="33" spans="1:18" ht="17.100000000000001" customHeight="1">
      <c r="A33" s="363"/>
      <c r="B33" s="361"/>
      <c r="C33" s="361"/>
      <c r="D33" s="105"/>
      <c r="H33" s="303" t="s">
        <v>267</v>
      </c>
      <c r="J33" s="1219" t="s">
        <v>705</v>
      </c>
      <c r="K33" s="1219"/>
      <c r="L33" s="1219"/>
      <c r="M33" s="1219"/>
      <c r="N33" s="1219"/>
      <c r="O33" s="1219"/>
      <c r="P33" s="1219"/>
      <c r="Q33" s="1219"/>
      <c r="R33" s="1219"/>
    </row>
    <row r="34" spans="1:18" ht="17.100000000000001" customHeight="1">
      <c r="A34" s="365"/>
      <c r="B34" s="23"/>
      <c r="C34" s="23"/>
      <c r="J34" s="1218" t="s">
        <v>706</v>
      </c>
      <c r="K34" s="1218"/>
      <c r="L34" s="1218"/>
      <c r="M34" s="1218"/>
      <c r="N34" s="1218"/>
      <c r="O34" s="1218"/>
      <c r="P34" s="1218"/>
      <c r="Q34" s="1218"/>
      <c r="R34" s="1218"/>
    </row>
    <row r="35" spans="1:18" ht="17.100000000000001" customHeight="1">
      <c r="B35" s="23"/>
      <c r="C35" s="23"/>
      <c r="J35" s="1219" t="s">
        <v>701</v>
      </c>
      <c r="K35" s="1219"/>
      <c r="L35" s="1219"/>
      <c r="M35" s="1219"/>
      <c r="N35" s="280"/>
      <c r="O35" s="280"/>
      <c r="P35" s="280"/>
      <c r="Q35" s="280"/>
      <c r="R35" s="280"/>
    </row>
    <row r="36" spans="1:18" ht="17.100000000000001" customHeight="1">
      <c r="J36" s="364" t="s">
        <v>702</v>
      </c>
      <c r="K36" s="362"/>
      <c r="L36" s="362"/>
      <c r="M36" s="362"/>
      <c r="N36" s="280"/>
      <c r="O36" s="280"/>
      <c r="P36" s="280"/>
      <c r="Q36" s="280"/>
      <c r="R36" s="280"/>
    </row>
    <row r="37" spans="1:18" ht="17.100000000000001" customHeight="1">
      <c r="J37" s="364" t="s">
        <v>703</v>
      </c>
      <c r="K37" s="362"/>
      <c r="L37" s="362"/>
      <c r="M37" s="362"/>
      <c r="N37" s="280"/>
      <c r="O37" s="280"/>
      <c r="P37" s="280"/>
      <c r="Q37" s="280"/>
      <c r="R37" s="280"/>
    </row>
    <row r="38" spans="1:18" ht="17.100000000000001" customHeight="1">
      <c r="J38" s="1218" t="s">
        <v>707</v>
      </c>
      <c r="K38" s="1218"/>
      <c r="L38" s="1218"/>
      <c r="M38" s="1218"/>
      <c r="N38" s="1218"/>
      <c r="O38" s="1218"/>
      <c r="P38" s="1218"/>
      <c r="Q38" s="1218"/>
      <c r="R38" s="1218"/>
    </row>
    <row r="39" spans="1:18" ht="17.100000000000001" customHeight="1">
      <c r="J39" s="1218" t="str">
        <f>"`k©vB‡Z "&amp;TEXT('MisC Intrst-3'!L26,"dd/mm/yyyy")&amp;" ZvwiL 11:00 NwUKvq Avcbv‡K ¯^qs A_ev AvqKi AvBb, 2023 Gi  aviv 327 Abyhvqx "</f>
        <v xml:space="preserve">`k©vB‡Z 21/01/2027 ZvwiL 11:00 NwUKvq Avcbv‡K ¯^qs A_ev AvqKi AvBb, 2023 Gi  aviv 327 Abyhvqx </v>
      </c>
      <c r="K39" s="1218"/>
      <c r="L39" s="1218"/>
      <c r="M39" s="1218"/>
      <c r="N39" s="1218"/>
      <c r="O39" s="1218"/>
      <c r="P39" s="1218"/>
      <c r="Q39" s="1218"/>
      <c r="R39" s="1218"/>
    </row>
    <row r="40" spans="1:18" ht="17.100000000000001" customHeight="1">
      <c r="J40" s="1219" t="s">
        <v>704</v>
      </c>
      <c r="K40" s="1219"/>
      <c r="L40" s="1219"/>
      <c r="M40" s="1219"/>
      <c r="N40" s="1219"/>
      <c r="O40" s="1219"/>
      <c r="P40" s="1219"/>
      <c r="Q40" s="1219"/>
      <c r="R40" s="1219"/>
    </row>
    <row r="41" spans="1:18" ht="17.25" customHeight="1">
      <c r="F41" s="109"/>
      <c r="G41" s="25" t="str">
        <f>'MisC Cal-1'!D146</f>
        <v>†dvbt 02-2222244444</v>
      </c>
    </row>
    <row r="42" spans="1:18" ht="18.75" customHeight="1">
      <c r="A42" s="108" t="s">
        <v>183</v>
      </c>
      <c r="B42" s="23"/>
      <c r="C42" s="23"/>
      <c r="F42" s="109" t="s">
        <v>285</v>
      </c>
      <c r="G42" t="s">
        <v>286</v>
      </c>
      <c r="O42" s="109"/>
    </row>
    <row r="43" spans="1:18" ht="16.5">
      <c r="F43" s="109" t="s">
        <v>87</v>
      </c>
      <c r="G43" s="38" t="str">
        <f>'MisC Cal-1'!G146</f>
        <v>50/1, wfAvBwc †ivW, bqvcëb, XvKv|</v>
      </c>
      <c r="J43" s="366" t="s">
        <v>183</v>
      </c>
      <c r="O43" s="109"/>
      <c r="P43" s="303" t="s">
        <v>266</v>
      </c>
    </row>
    <row r="44" spans="1:18" ht="16.5">
      <c r="O44" s="109"/>
      <c r="P44" s="367" t="s">
        <v>267</v>
      </c>
    </row>
    <row r="45" spans="1:18" ht="13.9" customHeight="1">
      <c r="P45" s="25"/>
    </row>
    <row r="46" spans="1:18" ht="12" customHeight="1"/>
    <row r="49" ht="11.25" customHeight="1"/>
    <row r="52" ht="9.75" customHeight="1"/>
    <row r="54" ht="34.5" customHeight="1"/>
    <row r="55" ht="11.25" customHeight="1"/>
    <row r="58" ht="12.75" customHeight="1"/>
    <row r="64" ht="18.75" customHeight="1"/>
    <row r="65" ht="11.25" customHeight="1"/>
    <row r="66" ht="18.75" customHeight="1"/>
    <row r="68" ht="18.75" customHeight="1"/>
    <row r="72" ht="11.25" customHeight="1"/>
    <row r="74" ht="15" customHeight="1"/>
    <row r="75" ht="17.25" customHeight="1"/>
  </sheetData>
  <sheetProtection algorithmName="SHA-512" hashValue="66Mf3upufmWGgcQT0FSfXwEvotlUfairhxqMs9kge1ow0bHIbertu6dNYITahLTWGXpy8Oa5aCvL8REJAiYoWw==" saltValue="BIFsEFZf/E6gh2+SZRT7dg==" spinCount="100000" sheet="1" objects="1" scenarios="1"/>
  <mergeCells count="39">
    <mergeCell ref="A2:B3"/>
    <mergeCell ref="J2:K3"/>
    <mergeCell ref="B12:I12"/>
    <mergeCell ref="K12:R12"/>
    <mergeCell ref="A17:I17"/>
    <mergeCell ref="J17:R17"/>
    <mergeCell ref="A5:I5"/>
    <mergeCell ref="J5:R5"/>
    <mergeCell ref="A6:I6"/>
    <mergeCell ref="J6:R6"/>
    <mergeCell ref="A20:I20"/>
    <mergeCell ref="J20:R20"/>
    <mergeCell ref="A21:I21"/>
    <mergeCell ref="J21:R21"/>
    <mergeCell ref="A18:I18"/>
    <mergeCell ref="J18:R18"/>
    <mergeCell ref="A19:I19"/>
    <mergeCell ref="J19:R19"/>
    <mergeCell ref="A24:I24"/>
    <mergeCell ref="J24:R24"/>
    <mergeCell ref="A25:I25"/>
    <mergeCell ref="J25:R25"/>
    <mergeCell ref="A22:I22"/>
    <mergeCell ref="J22:R22"/>
    <mergeCell ref="A23:I23"/>
    <mergeCell ref="J28:R28"/>
    <mergeCell ref="J29:R29"/>
    <mergeCell ref="J30:R30"/>
    <mergeCell ref="J31:R31"/>
    <mergeCell ref="A26:I26"/>
    <mergeCell ref="J26:R26"/>
    <mergeCell ref="A27:I27"/>
    <mergeCell ref="J27:R27"/>
    <mergeCell ref="J38:R38"/>
    <mergeCell ref="J39:R39"/>
    <mergeCell ref="J40:R40"/>
    <mergeCell ref="J33:R33"/>
    <mergeCell ref="J34:R34"/>
    <mergeCell ref="J35:M35"/>
  </mergeCells>
  <printOptions horizontalCentered="1" verticalCentered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751A6BC-7BB0-441D-BDCA-D3F6E1021756}">
            <xm:f>'MisC Cal-1'!$H$163=FALSE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A1:I10 A11 C11:I11 A12:I46</xm:sqref>
        </x14:conditionalFormatting>
        <x14:conditionalFormatting xmlns:xm="http://schemas.microsoft.com/office/excel/2006/main">
          <x14:cfRule type="expression" priority="2" id="{D8F29749-B3A3-43A8-92F1-E424F59F9C41}">
            <xm:f>'MisC Cal-1'!$H$161=FALSE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B11</xm:sqref>
        </x14:conditionalFormatting>
        <x14:conditionalFormatting xmlns:xm="http://schemas.microsoft.com/office/excel/2006/main">
          <x14:cfRule type="expression" priority="3" id="{C695471F-63F9-46A9-9240-0296EF2B6475}">
            <xm:f>'MisC Cal-1'!$H$165=FALSE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J1:R10 J11 L11:R11 J12:R46</xm:sqref>
        </x14:conditionalFormatting>
        <x14:conditionalFormatting xmlns:xm="http://schemas.microsoft.com/office/excel/2006/main">
          <x14:cfRule type="expression" priority="1" id="{6AEA0B59-4446-43D2-A503-8B1A6EF814C3}">
            <xm:f>'MisC Cal-1'!$H$161=FALSE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K11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9EFE-D303-4BE5-B7C3-F2DB7B95F781}">
  <sheetPr>
    <tabColor theme="7" tint="0.39997558519241921"/>
  </sheetPr>
  <dimension ref="B3:J32"/>
  <sheetViews>
    <sheetView showGridLines="0" showRowColHeaders="0" showRuler="0" view="pageLayout" zoomScaleNormal="100" workbookViewId="0">
      <selection activeCell="E3" sqref="E3"/>
    </sheetView>
  </sheetViews>
  <sheetFormatPr defaultRowHeight="12.75"/>
  <cols>
    <col min="1" max="1" width="5.85546875" customWidth="1"/>
  </cols>
  <sheetData>
    <row r="3" spans="2:10" ht="19.5">
      <c r="E3" s="955" t="s">
        <v>770</v>
      </c>
    </row>
    <row r="4" spans="2:10" ht="8.25" customHeight="1"/>
    <row r="5" spans="2:10" ht="17.25">
      <c r="B5" s="1229" t="s">
        <v>755</v>
      </c>
      <c r="C5" s="1230"/>
      <c r="D5" s="1230"/>
      <c r="E5" s="956"/>
      <c r="F5" s="956"/>
      <c r="G5" s="956"/>
      <c r="H5" s="957"/>
    </row>
    <row r="6" spans="2:10" ht="17.25" customHeight="1">
      <c r="B6" s="1236" t="s">
        <v>769</v>
      </c>
      <c r="C6" s="1237"/>
      <c r="D6" s="1237"/>
      <c r="E6" s="1237"/>
      <c r="F6" s="1237"/>
      <c r="G6" s="1237"/>
      <c r="H6" s="1238"/>
    </row>
    <row r="7" spans="2:10" ht="17.25" customHeight="1">
      <c r="B7" s="1236"/>
      <c r="C7" s="1237"/>
      <c r="D7" s="1237"/>
      <c r="E7" s="1237"/>
      <c r="F7" s="1237"/>
      <c r="G7" s="1237"/>
      <c r="H7" s="1238"/>
    </row>
    <row r="8" spans="2:10" ht="17.25" customHeight="1">
      <c r="B8" s="1236"/>
      <c r="C8" s="1237"/>
      <c r="D8" s="1237"/>
      <c r="E8" s="1237"/>
      <c r="F8" s="1237"/>
      <c r="G8" s="1237"/>
      <c r="H8" s="1238"/>
    </row>
    <row r="9" spans="2:10" ht="16.5">
      <c r="B9" s="958" t="s">
        <v>756</v>
      </c>
      <c r="C9" s="279"/>
      <c r="D9" s="279"/>
      <c r="E9" s="279"/>
      <c r="F9" s="279"/>
      <c r="G9" s="279"/>
      <c r="H9" s="959"/>
      <c r="I9" s="24"/>
      <c r="J9" s="24"/>
    </row>
    <row r="10" spans="2:10" ht="16.5">
      <c r="B10" s="1231" t="s">
        <v>792</v>
      </c>
      <c r="C10" s="1232"/>
      <c r="D10" s="1232"/>
      <c r="E10" s="1232"/>
      <c r="F10" s="1232"/>
      <c r="G10" s="285" t="str">
        <f>"Uvt "&amp;'Sheet of Calculation'!D24&amp;"/-"</f>
        <v>Uvt 5462355/-</v>
      </c>
      <c r="H10" s="960"/>
      <c r="I10" s="24"/>
      <c r="J10" s="24"/>
    </row>
    <row r="11" spans="2:10" ht="16.5">
      <c r="B11" s="1233"/>
      <c r="C11" s="1234"/>
      <c r="D11" s="1234"/>
      <c r="E11" s="1234"/>
      <c r="F11" s="1234"/>
      <c r="G11" s="961"/>
      <c r="H11" s="959"/>
      <c r="I11" s="24"/>
      <c r="J11" s="24"/>
    </row>
    <row r="12" spans="2:10" ht="16.5">
      <c r="B12" s="962" t="s">
        <v>757</v>
      </c>
      <c r="C12" s="279"/>
      <c r="D12" s="279"/>
      <c r="E12" s="279"/>
      <c r="F12" s="279"/>
      <c r="G12" s="997" t="str">
        <f>"Uvt "&amp;'MisC Cal-1'!L8&amp;"/-"</f>
        <v>Uvt 1203706.5/-</v>
      </c>
      <c r="H12" s="959"/>
      <c r="I12" s="24"/>
      <c r="J12" s="24"/>
    </row>
    <row r="13" spans="2:10" ht="16.5">
      <c r="B13" s="958" t="s">
        <v>758</v>
      </c>
      <c r="C13" s="279"/>
      <c r="D13" s="279"/>
      <c r="E13" s="279"/>
      <c r="F13" s="279"/>
      <c r="G13" s="279"/>
      <c r="H13" s="959"/>
      <c r="I13" s="24"/>
      <c r="J13" s="24"/>
    </row>
    <row r="14" spans="2:10" ht="16.5">
      <c r="B14" s="962" t="s">
        <v>759</v>
      </c>
      <c r="C14" s="279"/>
      <c r="D14" s="279"/>
      <c r="F14" s="279"/>
      <c r="G14" s="38" t="str">
        <f>"Uvt "&amp;'Sheet of Calculation'!D24&amp;"/-"</f>
        <v>Uvt 5462355/-</v>
      </c>
      <c r="H14" s="959"/>
      <c r="I14" s="24"/>
      <c r="J14" s="24"/>
    </row>
    <row r="15" spans="2:10" ht="16.5">
      <c r="B15" s="962" t="s">
        <v>763</v>
      </c>
      <c r="C15" s="279"/>
      <c r="E15" s="279"/>
      <c r="F15" s="279"/>
      <c r="G15" s="279" t="str">
        <f>"Uvt "&amp;'Data Input'!E35&amp;"/-"</f>
        <v>Uvt 1728142/-</v>
      </c>
      <c r="H15" s="959"/>
      <c r="I15" s="24"/>
      <c r="J15" s="24"/>
    </row>
    <row r="16" spans="2:10" ht="16.5">
      <c r="B16" s="962" t="s">
        <v>760</v>
      </c>
      <c r="C16" s="279"/>
      <c r="E16" s="279"/>
      <c r="F16" s="279"/>
      <c r="G16" s="971" t="str">
        <f>"Uvt "&amp;'Sheet of Calculation'!D26&amp;"/-"</f>
        <v>Uvt 7190497/-</v>
      </c>
      <c r="H16" s="959"/>
      <c r="I16" s="24"/>
      <c r="J16" s="24"/>
    </row>
    <row r="17" spans="2:10" ht="6.75" customHeight="1">
      <c r="B17" s="962"/>
      <c r="C17" s="279"/>
      <c r="D17" s="279"/>
      <c r="E17" s="279"/>
      <c r="F17" s="279"/>
      <c r="G17" s="279"/>
      <c r="H17" s="959"/>
      <c r="I17" s="24"/>
      <c r="J17" s="24"/>
    </row>
    <row r="18" spans="2:10" ht="16.5">
      <c r="B18" s="1235" t="str">
        <f>'Sheet of Calculation'!D26&amp;"/- UvKvi Dci cÖ‡hvR¨ nv‡i AvqKi:"</f>
        <v>7190497/- UvKvi Dci cÖ‡hvR¨ nv‡i AvqKi:</v>
      </c>
      <c r="C18" s="1175"/>
      <c r="D18" s="1175"/>
      <c r="E18" s="1175"/>
      <c r="F18" s="1175"/>
      <c r="G18" s="963" t="str">
        <f>"Uvt "&amp;'MisC Cal-1'!G16&amp;"/-"</f>
        <v>Uvt 1722149.1/-</v>
      </c>
      <c r="H18" s="959"/>
      <c r="I18" s="24"/>
      <c r="J18" s="24"/>
    </row>
    <row r="19" spans="2:10" ht="16.5">
      <c r="B19" s="962" t="s">
        <v>765</v>
      </c>
      <c r="C19" s="279"/>
      <c r="D19" s="279"/>
      <c r="E19" s="279"/>
      <c r="F19" s="279" t="s">
        <v>761</v>
      </c>
      <c r="G19" s="279" t="str">
        <f>"Uvt "&amp;'MisC Cal-1'!L8&amp;"/-"</f>
        <v>Uvt 1203706.5/-</v>
      </c>
      <c r="H19" s="959"/>
      <c r="I19" s="24"/>
      <c r="J19" s="24"/>
    </row>
    <row r="20" spans="2:10" ht="16.5">
      <c r="B20" s="962" t="s">
        <v>764</v>
      </c>
      <c r="C20" s="279"/>
      <c r="D20" s="279"/>
      <c r="E20" s="279"/>
      <c r="F20" s="279"/>
      <c r="G20" s="998" t="str">
        <f>"Uvt "&amp;'MisC Cal-1'!G17&amp;"/-"</f>
        <v>Uvt 518442.6/-</v>
      </c>
      <c r="H20" s="959"/>
      <c r="I20" s="24"/>
      <c r="J20" s="24"/>
    </row>
    <row r="21" spans="2:10" s="966" customFormat="1" ht="16.5">
      <c r="B21" s="958" t="s">
        <v>762</v>
      </c>
      <c r="C21" s="963"/>
      <c r="D21" s="963"/>
      <c r="E21" s="963"/>
      <c r="F21" s="963"/>
      <c r="G21" s="963"/>
      <c r="H21" s="964"/>
      <c r="I21" s="965"/>
      <c r="J21" s="965"/>
    </row>
    <row r="22" spans="2:10" ht="16.5">
      <c r="B22" s="967" t="s">
        <v>766</v>
      </c>
      <c r="C22" s="279"/>
      <c r="E22" s="279"/>
      <c r="F22" s="279"/>
      <c r="G22" s="279" t="str">
        <f>"Uvt "&amp;'MisC Cal-1'!G17&amp;"/-"</f>
        <v>Uvt 518442.6/-</v>
      </c>
      <c r="H22" s="959"/>
      <c r="I22" s="24"/>
      <c r="J22" s="24"/>
    </row>
    <row r="23" spans="2:10" ht="16.5">
      <c r="B23" s="967" t="s">
        <v>767</v>
      </c>
      <c r="D23" s="279"/>
      <c r="E23" s="279"/>
      <c r="F23" s="279"/>
      <c r="G23" s="279" t="str">
        <f>"Uvt "&amp;'MisC Cal-1'!I12&amp;"/-"</f>
        <v>Uvt 175000/-</v>
      </c>
      <c r="H23" s="959"/>
      <c r="I23" s="24"/>
      <c r="J23" s="24"/>
    </row>
    <row r="24" spans="2:10" ht="16.5">
      <c r="B24" s="967" t="s">
        <v>768</v>
      </c>
      <c r="D24" s="279"/>
      <c r="E24" s="279"/>
      <c r="F24" s="279"/>
      <c r="G24" s="279" t="str">
        <f>"Uvt "&amp;'Data Input'!F35&amp;"/-"</f>
        <v>Uvt 180000/-</v>
      </c>
      <c r="H24" s="959"/>
      <c r="I24" s="24"/>
      <c r="J24" s="24"/>
    </row>
    <row r="25" spans="2:10" ht="7.5" customHeight="1">
      <c r="B25" s="962"/>
      <c r="C25" s="279"/>
      <c r="D25" s="279"/>
      <c r="E25" s="279"/>
      <c r="F25" s="279"/>
      <c r="G25" s="279"/>
      <c r="H25" s="959"/>
      <c r="I25" s="24"/>
      <c r="J25" s="24"/>
    </row>
    <row r="26" spans="2:10" ht="17.25" customHeight="1">
      <c r="B26" s="1220" t="str">
        <f>".................................................. e¨emvq 163(6) avivbymv‡i b¨~bZg Ki`vq "&amp;'MisC Cal-1'!F18&amp;" /- UvKv, hv (1), (2) I (3) Gi g‡a¨ m‡e©v”P|"</f>
        <v>.................................................. e¨emvq 163(6) avivbymv‡i b¨~bZg Ki`vq 518442.6 /- UvKv, hv (1), (2) I (3) Gi g‡a¨ m‡e©v”P|</v>
      </c>
      <c r="C26" s="1221"/>
      <c r="D26" s="1221"/>
      <c r="E26" s="1221"/>
      <c r="F26" s="1221"/>
      <c r="G26" s="1221"/>
      <c r="H26" s="1222"/>
      <c r="I26" s="24"/>
      <c r="J26" s="24"/>
    </row>
    <row r="27" spans="2:10" ht="17.25" customHeight="1">
      <c r="B27" s="1220"/>
      <c r="C27" s="1221"/>
      <c r="D27" s="1221"/>
      <c r="E27" s="1221"/>
      <c r="F27" s="1221"/>
      <c r="G27" s="1221"/>
      <c r="H27" s="1222"/>
      <c r="I27" s="24"/>
      <c r="J27" s="24"/>
    </row>
    <row r="28" spans="2:10" ht="6.75" customHeight="1">
      <c r="B28" s="968"/>
      <c r="C28" s="969"/>
      <c r="D28" s="969"/>
      <c r="E28" s="969"/>
      <c r="F28" s="969"/>
      <c r="G28" s="969"/>
      <c r="H28" s="970"/>
      <c r="I28" s="24"/>
      <c r="J28" s="24"/>
    </row>
    <row r="29" spans="2:10" ht="17.25" customHeight="1">
      <c r="B29" s="1223" t="str">
        <f>"myZivs, "&amp;'Data Input'!D4&amp;" Ki eQ‡i Ki`vZvi †gvU Avq n‡e ( "&amp;'Sheet of Calculation'!D24&amp;"+"&amp;'Data Input'!E35&amp; ") = "&amp;'Sheet of Calculation'!D26&amp;"/- UvKv Ges Ki`vq n‡e ("&amp;'MisC Cal-1'!L8&amp;" + "&amp;'MisC Cal-1'!F18&amp;" ) =  "&amp;'MisC Cal-1'!E29&amp;"/- UvKv| "</f>
        <v xml:space="preserve">myZivs, 2025-26 Ki eQ‡i Ki`vZvi †gvU Avq n‡e ( 5462355+1728142) = 7190497/- UvKv Ges Ki`vq n‡e (1203706.5 + 518442.6 ) =  1722149.1/- UvKv| </v>
      </c>
      <c r="C29" s="1224"/>
      <c r="D29" s="1224"/>
      <c r="E29" s="1224"/>
      <c r="F29" s="1224"/>
      <c r="G29" s="1224"/>
      <c r="H29" s="1225"/>
      <c r="I29" s="24"/>
      <c r="J29" s="24"/>
    </row>
    <row r="30" spans="2:10" ht="12.75" customHeight="1">
      <c r="B30" s="1223"/>
      <c r="C30" s="1224"/>
      <c r="D30" s="1224"/>
      <c r="E30" s="1224"/>
      <c r="F30" s="1224"/>
      <c r="G30" s="1224"/>
      <c r="H30" s="1225"/>
    </row>
    <row r="31" spans="2:10" ht="12.75" customHeight="1">
      <c r="B31" s="1223"/>
      <c r="C31" s="1224"/>
      <c r="D31" s="1224"/>
      <c r="E31" s="1224"/>
      <c r="F31" s="1224"/>
      <c r="G31" s="1224"/>
      <c r="H31" s="1225"/>
    </row>
    <row r="32" spans="2:10" ht="12.75" customHeight="1">
      <c r="B32" s="1226"/>
      <c r="C32" s="1227"/>
      <c r="D32" s="1227"/>
      <c r="E32" s="1227"/>
      <c r="F32" s="1227"/>
      <c r="G32" s="1227"/>
      <c r="H32" s="1228"/>
    </row>
  </sheetData>
  <sheetProtection algorithmName="SHA-512" hashValue="NtEHrY4R0QPZTwp6hGr0pTaW6ak2/fes8C3dUot7ztxPRkgyrY1T+j9llUFEd9v65oJfifFhVAXVh3nPcO3LmQ==" saltValue="ykronl03pmViW9nYqLCwWg==" spinCount="100000" sheet="1" objects="1" scenarios="1"/>
  <mergeCells count="7">
    <mergeCell ref="B26:H27"/>
    <mergeCell ref="B29:H32"/>
    <mergeCell ref="B5:D5"/>
    <mergeCell ref="B10:F10"/>
    <mergeCell ref="B11:F11"/>
    <mergeCell ref="B18:F18"/>
    <mergeCell ref="B6:H8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7E0D94-BE09-4A15-9E44-F4633CCBFD5E}">
            <xm:f>'Data Input'!$E$35&lt;=0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B6:H32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2917-6E25-43A8-A7DA-DB3BFF4FB405}">
  <sheetPr>
    <tabColor rgb="FFFF0000"/>
  </sheetPr>
  <dimension ref="A1:I75"/>
  <sheetViews>
    <sheetView showGridLines="0" showRowColHeaders="0" showRuler="0" view="pageLayout" zoomScale="90" zoomScaleNormal="100" zoomScalePageLayoutView="90" workbookViewId="0">
      <selection activeCell="A5" sqref="A5:I5"/>
    </sheetView>
  </sheetViews>
  <sheetFormatPr defaultRowHeight="12.75"/>
  <cols>
    <col min="1" max="1" width="11.28515625" customWidth="1"/>
    <col min="8" max="8" width="9.42578125" customWidth="1"/>
    <col min="9" max="9" width="13.42578125" customWidth="1"/>
  </cols>
  <sheetData>
    <row r="1" spans="1:9" ht="16.5" customHeight="1"/>
    <row r="2" spans="1:9" ht="17.25" customHeight="1">
      <c r="A2" s="1211" t="s">
        <v>180</v>
      </c>
      <c r="B2" s="1211"/>
      <c r="I2" s="359" t="s">
        <v>271</v>
      </c>
    </row>
    <row r="3" spans="1:9" ht="14.25" customHeight="1">
      <c r="A3" s="1211"/>
      <c r="B3" s="1211"/>
    </row>
    <row r="4" spans="1:9" ht="12" customHeight="1">
      <c r="A4" s="201"/>
      <c r="B4" s="201"/>
    </row>
    <row r="5" spans="1:9" ht="21.75" customHeight="1">
      <c r="A5" s="1210" t="s">
        <v>272</v>
      </c>
      <c r="B5" s="1210"/>
      <c r="C5" s="1210"/>
      <c r="D5" s="1210"/>
      <c r="E5" s="1210"/>
      <c r="F5" s="1210"/>
      <c r="G5" s="1210"/>
      <c r="H5" s="1210"/>
      <c r="I5" s="1210"/>
    </row>
    <row r="6" spans="1:9" ht="18" customHeight="1">
      <c r="A6" s="1210" t="s">
        <v>273</v>
      </c>
      <c r="B6" s="1210"/>
      <c r="C6" s="1210"/>
      <c r="D6" s="1210"/>
      <c r="E6" s="1210"/>
      <c r="F6" s="1210"/>
      <c r="G6" s="1210"/>
      <c r="H6" s="1210"/>
      <c r="I6" s="1210"/>
    </row>
    <row r="7" spans="1:9" ht="12" customHeight="1">
      <c r="E7" s="202"/>
    </row>
    <row r="8" spans="1:9" ht="18" customHeight="1">
      <c r="A8" s="101" t="s">
        <v>360</v>
      </c>
      <c r="B8" s="21" t="str">
        <f>"cytDt/"&amp;'Data Input'!F4&amp;"/mv-"&amp;'Data Input'!K4&amp;"/"&amp;'Data Input'!K25&amp;"/"</f>
        <v>cytDt/387493583464/mv-16/0/</v>
      </c>
      <c r="H8" s="102" t="s">
        <v>42</v>
      </c>
      <c r="I8" s="282" t="str">
        <f>TEXT('Data Input'!F5,"dd/mm/yyyy")</f>
        <v>30/12/2026</v>
      </c>
    </row>
    <row r="9" spans="1:9" ht="15.95" customHeight="1">
      <c r="A9" s="101" t="s">
        <v>274</v>
      </c>
    </row>
    <row r="10" spans="1:9" ht="12" customHeight="1">
      <c r="A10" s="101"/>
    </row>
    <row r="11" spans="1:9" ht="18" customHeight="1">
      <c r="A11" s="101" t="s">
        <v>275</v>
      </c>
      <c r="B11" s="360" t="str">
        <f>'Data Input'!D6</f>
        <v>Rbve †gvt bvCg nvmvb</v>
      </c>
    </row>
    <row r="12" spans="1:9" ht="35.1" customHeight="1">
      <c r="A12" s="150" t="s">
        <v>175</v>
      </c>
      <c r="B12" s="1176" t="str">
        <f>'Data Input'!D7</f>
        <v xml:space="preserve"> </v>
      </c>
      <c r="C12" s="1176"/>
      <c r="D12" s="1176"/>
      <c r="E12" s="1176"/>
      <c r="F12" s="1176"/>
      <c r="G12" s="1176"/>
      <c r="H12" s="1176"/>
      <c r="I12" s="1176"/>
    </row>
    <row r="13" spans="1:9" ht="12" customHeight="1">
      <c r="A13" s="150"/>
      <c r="B13" s="200"/>
      <c r="C13" s="200"/>
      <c r="D13" s="200"/>
      <c r="E13" s="200"/>
      <c r="F13" s="200"/>
      <c r="G13" s="200"/>
      <c r="H13" s="200"/>
      <c r="I13" s="200"/>
    </row>
    <row r="14" spans="1:9" ht="15.95" customHeight="1">
      <c r="A14" s="101" t="s">
        <v>276</v>
      </c>
      <c r="B14" s="21" t="str">
        <f>'Data Input'!F4&amp;"/Ktmvt-"&amp;'Data Input'!K4</f>
        <v>387493583464/Ktmvt-16</v>
      </c>
    </row>
    <row r="15" spans="1:9" ht="15.95" customHeight="1">
      <c r="A15" s="101" t="s">
        <v>277</v>
      </c>
      <c r="B15" s="149" t="str">
        <f>'Data Input'!D4</f>
        <v>2025-26</v>
      </c>
    </row>
    <row r="16" spans="1:9" ht="12" customHeight="1">
      <c r="A16" s="104"/>
    </row>
    <row r="17" spans="1:9" ht="17.100000000000001" customHeight="1">
      <c r="A17" s="1213" t="s">
        <v>657</v>
      </c>
      <c r="B17" s="1213"/>
      <c r="C17" s="1213"/>
      <c r="D17" s="1213"/>
      <c r="E17" s="1213"/>
      <c r="F17" s="1213"/>
      <c r="G17" s="1213"/>
      <c r="H17" s="1213"/>
      <c r="I17" s="1213"/>
    </row>
    <row r="18" spans="1:9" ht="16.5" customHeight="1">
      <c r="A18" s="1215" t="s">
        <v>658</v>
      </c>
      <c r="B18" s="1215"/>
      <c r="C18" s="1215"/>
      <c r="D18" s="1215"/>
      <c r="E18" s="1215"/>
      <c r="F18" s="1215"/>
      <c r="G18" s="1215"/>
      <c r="H18" s="1215"/>
      <c r="I18" s="1215"/>
    </row>
    <row r="19" spans="1:9" ht="17.100000000000001" customHeight="1">
      <c r="A19" s="1215" t="s">
        <v>659</v>
      </c>
      <c r="B19" s="1215"/>
      <c r="C19" s="1215"/>
      <c r="D19" s="1215"/>
      <c r="E19" s="1215"/>
      <c r="F19" s="1215"/>
      <c r="G19" s="1215"/>
      <c r="H19" s="1215"/>
      <c r="I19" s="1215"/>
    </row>
    <row r="20" spans="1:9" ht="17.100000000000001" customHeight="1">
      <c r="A20" s="1215" t="s">
        <v>753</v>
      </c>
      <c r="B20" s="1215"/>
      <c r="C20" s="1215"/>
      <c r="D20" s="1215"/>
      <c r="E20" s="1215"/>
      <c r="F20" s="1215"/>
      <c r="G20" s="1215"/>
      <c r="H20" s="1215"/>
      <c r="I20" s="1215"/>
    </row>
    <row r="21" spans="1:9" ht="17.100000000000001" customHeight="1">
      <c r="A21" s="1215" t="s">
        <v>659</v>
      </c>
      <c r="B21" s="1215"/>
      <c r="C21" s="1215"/>
      <c r="D21" s="1215"/>
      <c r="E21" s="1215"/>
      <c r="F21" s="1215"/>
      <c r="G21" s="1215"/>
      <c r="H21" s="1215"/>
      <c r="I21" s="1215"/>
    </row>
    <row r="22" spans="1:9" ht="15.75" customHeight="1">
      <c r="A22" s="1215" t="s">
        <v>278</v>
      </c>
      <c r="B22" s="1215"/>
      <c r="C22" s="1215"/>
      <c r="D22" s="1215"/>
      <c r="E22" s="1215"/>
      <c r="F22" s="1215"/>
      <c r="G22" s="1215"/>
      <c r="H22" s="1215"/>
      <c r="I22" s="1215"/>
    </row>
    <row r="23" spans="1:9" ht="15.95" customHeight="1">
      <c r="A23" s="104"/>
    </row>
    <row r="24" spans="1:9" ht="17.100000000000001" customHeight="1">
      <c r="A24" s="1215" t="s">
        <v>288</v>
      </c>
      <c r="B24" s="1215"/>
      <c r="C24" s="1215"/>
      <c r="D24" s="1215"/>
      <c r="E24" s="1215"/>
      <c r="F24" s="1215"/>
      <c r="G24" s="1215"/>
      <c r="H24" s="1215"/>
      <c r="I24" s="1215"/>
    </row>
    <row r="25" spans="1:9" ht="17.100000000000001" customHeight="1">
      <c r="A25" s="1215" t="str">
        <f>"          (K) Ki`vZvi  ..."&amp;TEXT('MisC Intrst-3'!N4,"dd/mm/yyyy")&amp;".... Zvwi‡L mgvß Avq e‡l©i AvqKi wiUvb© `vwLj Kwievi Rb¨;"</f>
        <v xml:space="preserve">          (K) Ki`vZvi  ...30/06/2025.... Zvwi‡L mgvß Avq e‡l©i AvqKi wiUvb© `vwLj Kwievi Rb¨;</v>
      </c>
      <c r="B25" s="1215"/>
      <c r="C25" s="1215"/>
      <c r="D25" s="1215"/>
      <c r="E25" s="1215"/>
      <c r="F25" s="1215"/>
      <c r="G25" s="1215"/>
      <c r="H25" s="1215"/>
      <c r="I25" s="1215"/>
    </row>
    <row r="26" spans="1:9" ht="17.100000000000001" customHeight="1">
      <c r="A26" s="1215" t="s">
        <v>279</v>
      </c>
      <c r="B26" s="1215"/>
      <c r="C26" s="1215"/>
      <c r="D26" s="1215"/>
      <c r="E26" s="1215"/>
      <c r="F26" s="1215"/>
      <c r="G26" s="1215"/>
      <c r="H26" s="1215"/>
      <c r="I26" s="1215"/>
    </row>
    <row r="27" spans="1:9" ht="17.100000000000001" customHeight="1">
      <c r="A27" s="1215" t="s">
        <v>280</v>
      </c>
      <c r="B27" s="1215"/>
      <c r="C27" s="1215"/>
      <c r="D27" s="1215"/>
      <c r="E27" s="1215"/>
      <c r="F27" s="1215"/>
      <c r="G27" s="1215"/>
      <c r="H27" s="1215"/>
      <c r="I27" s="1215"/>
    </row>
    <row r="28" spans="1:9" ht="17.100000000000001" customHeight="1">
      <c r="A28" s="1215" t="s">
        <v>281</v>
      </c>
      <c r="B28" s="1215"/>
      <c r="C28" s="1215"/>
      <c r="D28" s="1215"/>
      <c r="E28" s="1215"/>
      <c r="F28" s="1215"/>
      <c r="G28" s="1215"/>
      <c r="H28" s="1215"/>
      <c r="I28" s="1215"/>
    </row>
    <row r="29" spans="1:9" ht="17.100000000000001" customHeight="1">
      <c r="A29" s="1215" t="s">
        <v>289</v>
      </c>
      <c r="B29" s="1215"/>
      <c r="C29" s="1215"/>
      <c r="D29" s="1215"/>
      <c r="E29" s="1215"/>
      <c r="F29" s="1215"/>
      <c r="G29" s="1215"/>
      <c r="H29" s="1215"/>
      <c r="I29" s="1215"/>
    </row>
    <row r="30" spans="1:9" ht="15" customHeight="1">
      <c r="A30" s="101"/>
    </row>
    <row r="31" spans="1:9" ht="17.100000000000001" customHeight="1">
      <c r="A31" s="1215" t="s">
        <v>287</v>
      </c>
      <c r="B31" s="1215"/>
      <c r="C31" s="1215"/>
      <c r="D31" s="1215"/>
      <c r="E31" s="1215"/>
      <c r="F31" s="1215"/>
      <c r="G31" s="1215"/>
      <c r="H31" s="1215"/>
      <c r="I31" s="1215"/>
    </row>
    <row r="32" spans="1:9" ht="15" customHeight="1">
      <c r="A32" s="101"/>
    </row>
    <row r="33" spans="1:9" ht="17.100000000000001" customHeight="1">
      <c r="A33" s="1213" t="s">
        <v>282</v>
      </c>
      <c r="B33" s="1213"/>
      <c r="C33" s="1213"/>
      <c r="D33" s="1213"/>
      <c r="E33" s="1213"/>
      <c r="F33" s="1213"/>
      <c r="G33" s="1213"/>
      <c r="H33" s="1213"/>
      <c r="I33" s="1213"/>
    </row>
    <row r="34" spans="1:9" ht="17.100000000000001" customHeight="1">
      <c r="A34" s="1213" t="s">
        <v>283</v>
      </c>
      <c r="B34" s="1213"/>
      <c r="C34" s="1213"/>
      <c r="D34" s="1213"/>
      <c r="E34" s="1213"/>
      <c r="F34" s="1213"/>
      <c r="G34" s="1213"/>
      <c r="H34" s="1213"/>
      <c r="I34" s="1213"/>
    </row>
    <row r="35" spans="1:9" ht="17.100000000000001" customHeight="1">
      <c r="A35" s="1213" t="s">
        <v>284</v>
      </c>
      <c r="B35" s="1213"/>
      <c r="C35" s="1213"/>
      <c r="D35" s="1213"/>
      <c r="E35" s="24"/>
      <c r="F35" s="24"/>
      <c r="G35" s="24"/>
      <c r="H35" s="24"/>
      <c r="I35" s="24"/>
    </row>
    <row r="36" spans="1:9" ht="17.100000000000001" customHeight="1">
      <c r="A36" s="105"/>
      <c r="B36" s="105"/>
      <c r="C36" s="105"/>
      <c r="D36" s="105"/>
    </row>
    <row r="37" spans="1:9" ht="17.100000000000001" customHeight="1">
      <c r="A37" s="105"/>
      <c r="B37" s="105"/>
      <c r="C37" s="105"/>
      <c r="D37" s="105"/>
    </row>
    <row r="38" spans="1:9" ht="17.100000000000001" customHeight="1">
      <c r="A38" s="101"/>
      <c r="H38" s="202" t="s">
        <v>266</v>
      </c>
    </row>
    <row r="39" spans="1:9" ht="17.100000000000001" customHeight="1">
      <c r="A39" s="101"/>
      <c r="H39" s="203" t="s">
        <v>267</v>
      </c>
    </row>
    <row r="40" spans="1:9" ht="17.100000000000001" customHeight="1"/>
    <row r="41" spans="1:9" ht="17.25" customHeight="1"/>
    <row r="42" spans="1:9" ht="18.75" customHeight="1">
      <c r="F42" s="109"/>
      <c r="G42" s="25" t="str">
        <f>'MisC Cal-1'!D146</f>
        <v>†dvbt 02-2222244444</v>
      </c>
    </row>
    <row r="43" spans="1:9" ht="19.5">
      <c r="A43" s="108" t="s">
        <v>183</v>
      </c>
      <c r="F43" s="109" t="s">
        <v>285</v>
      </c>
      <c r="G43" t="s">
        <v>182</v>
      </c>
    </row>
    <row r="44" spans="1:9" ht="16.5">
      <c r="F44" s="109" t="s">
        <v>87</v>
      </c>
      <c r="G44" s="38" t="str">
        <f>'MisC Cal-1'!G146</f>
        <v>50/1, wfAvBwc †ivW, bqvcëb, XvKv|</v>
      </c>
    </row>
    <row r="45" spans="1:9" ht="13.9" customHeight="1"/>
    <row r="46" spans="1:9" ht="12" customHeight="1"/>
    <row r="49" ht="11.25" customHeight="1"/>
    <row r="52" ht="9.75" customHeight="1"/>
    <row r="54" ht="34.5" customHeight="1"/>
    <row r="55" ht="11.25" customHeight="1"/>
    <row r="58" ht="12.75" customHeight="1"/>
    <row r="64" ht="18.75" customHeight="1"/>
    <row r="65" ht="11.25" customHeight="1"/>
    <row r="66" ht="18.75" customHeight="1"/>
    <row r="68" ht="18.75" customHeight="1"/>
    <row r="72" ht="11.25" customHeight="1"/>
    <row r="74" ht="15" customHeight="1"/>
    <row r="75" ht="17.25" customHeight="1"/>
  </sheetData>
  <sheetProtection algorithmName="SHA-512" hashValue="B6igcszNsFwpfOa86uPL+HCOmp3ylNy4QCDvJTCkryLthLMj93LHu7G5NqDTKcFsXMsU8vk1xfvGURKPIKGPPQ==" saltValue="zeHH2S56vBcW6Xsz44zorA==" spinCount="100000" sheet="1" objects="1" scenarios="1"/>
  <mergeCells count="20">
    <mergeCell ref="A5:I5"/>
    <mergeCell ref="A6:I6"/>
    <mergeCell ref="A2:B3"/>
    <mergeCell ref="A20:I20"/>
    <mergeCell ref="A21:I21"/>
    <mergeCell ref="A18:I18"/>
    <mergeCell ref="A19:I19"/>
    <mergeCell ref="B12:I12"/>
    <mergeCell ref="A17:I17"/>
    <mergeCell ref="A26:I26"/>
    <mergeCell ref="A27:I27"/>
    <mergeCell ref="A24:I24"/>
    <mergeCell ref="A25:I25"/>
    <mergeCell ref="A22:I22"/>
    <mergeCell ref="A33:I33"/>
    <mergeCell ref="A34:I34"/>
    <mergeCell ref="A35:D35"/>
    <mergeCell ref="A28:I28"/>
    <mergeCell ref="A29:I29"/>
    <mergeCell ref="A31:I31"/>
  </mergeCells>
  <printOptions horizontalCentered="1" verticalCentered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B124F5D-BB5C-43A0-9997-BCB4D9E7ED9A}">
            <xm:f>'MisC Cal-1'!$H$164=FALSE</xm:f>
            <x14:dxf>
              <font>
                <color theme="0"/>
              </font>
              <fill>
                <patternFill patternType="gray0625"/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A1:I45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4BA7-A4EE-403B-AC21-579C0BC74FAC}">
  <sheetPr codeName="Sheet4">
    <tabColor rgb="FFFF0000"/>
  </sheetPr>
  <dimension ref="A1:AN165"/>
  <sheetViews>
    <sheetView showGridLines="0" zoomScale="90" zoomScaleNormal="90" workbookViewId="0">
      <selection activeCell="C122" sqref="C122"/>
    </sheetView>
  </sheetViews>
  <sheetFormatPr defaultRowHeight="12.75"/>
  <cols>
    <col min="1" max="1" width="8" customWidth="1"/>
    <col min="2" max="2" width="31.5703125" customWidth="1"/>
    <col min="3" max="3" width="15.140625" customWidth="1"/>
    <col min="4" max="4" width="14.140625" customWidth="1"/>
    <col min="5" max="5" width="17.140625" customWidth="1"/>
    <col min="6" max="6" width="16.42578125" customWidth="1"/>
    <col min="7" max="7" width="16.85546875" customWidth="1"/>
    <col min="8" max="8" width="21.28515625" customWidth="1"/>
    <col min="9" max="9" width="16" customWidth="1"/>
    <col min="10" max="10" width="19.85546875" customWidth="1"/>
    <col min="11" max="11" width="35.85546875" bestFit="1" customWidth="1"/>
    <col min="12" max="12" width="13.7109375" customWidth="1"/>
    <col min="13" max="13" width="10.7109375" customWidth="1"/>
    <col min="14" max="14" width="15.7109375" bestFit="1" customWidth="1"/>
    <col min="15" max="15" width="13.28515625" customWidth="1"/>
    <col min="16" max="16" width="10.42578125" customWidth="1"/>
    <col min="17" max="17" width="12.42578125" customWidth="1"/>
    <col min="18" max="18" width="11.5703125" customWidth="1"/>
    <col min="19" max="19" width="11.28515625" customWidth="1"/>
    <col min="22" max="22" width="24.140625" customWidth="1"/>
    <col min="24" max="24" width="10.140625" customWidth="1"/>
    <col min="25" max="25" width="21.7109375" customWidth="1"/>
    <col min="26" max="26" width="10.28515625" customWidth="1"/>
    <col min="27" max="27" width="22" bestFit="1" customWidth="1"/>
    <col min="28" max="28" width="18.7109375" bestFit="1" customWidth="1"/>
    <col min="29" max="29" width="20.85546875" bestFit="1" customWidth="1"/>
    <col min="30" max="30" width="17.5703125" bestFit="1" customWidth="1"/>
    <col min="31" max="31" width="9.42578125" bestFit="1" customWidth="1"/>
    <col min="32" max="32" width="17.5703125" bestFit="1" customWidth="1"/>
    <col min="33" max="33" width="18.7109375" bestFit="1" customWidth="1"/>
    <col min="34" max="34" width="20.85546875" bestFit="1" customWidth="1"/>
    <col min="35" max="35" width="24.28515625" bestFit="1" customWidth="1"/>
    <col min="36" max="36" width="18.28515625" bestFit="1" customWidth="1"/>
    <col min="37" max="37" width="19.28515625" customWidth="1"/>
    <col min="38" max="38" width="16.140625" customWidth="1"/>
    <col min="39" max="39" width="18.140625" bestFit="1" customWidth="1"/>
    <col min="40" max="40" width="24.28515625" bestFit="1" customWidth="1"/>
    <col min="45" max="45" width="9.42578125" bestFit="1" customWidth="1"/>
    <col min="46" max="46" width="22" bestFit="1" customWidth="1"/>
    <col min="47" max="47" width="18.7109375" bestFit="1" customWidth="1"/>
    <col min="48" max="48" width="20.85546875" bestFit="1" customWidth="1"/>
    <col min="49" max="49" width="17.5703125" bestFit="1" customWidth="1"/>
    <col min="51" max="51" width="17.5703125" bestFit="1" customWidth="1"/>
    <col min="54" max="54" width="24.28515625" bestFit="1" customWidth="1"/>
  </cols>
  <sheetData>
    <row r="1" spans="2:40" ht="16.5" customHeight="1"/>
    <row r="2" spans="2:40" ht="19.5" customHeight="1">
      <c r="B2" s="1242" t="s">
        <v>468</v>
      </c>
      <c r="C2" s="1242"/>
      <c r="D2" s="1242"/>
      <c r="E2" s="1242"/>
      <c r="F2" s="1242"/>
      <c r="Z2" s="463" t="str">
        <f>'Data Input'!K5</f>
        <v>খুলনা</v>
      </c>
      <c r="AA2" s="463" t="str">
        <f>'Data Input'!I8</f>
        <v>আয়কর কোম্পানী ব্যতীত</v>
      </c>
      <c r="AB2" s="464" t="str" cm="1">
        <f t="array" ref="AB2:AD2">_xlfn.XLOOKUP(Z2,AA5:AA36,AB5:AD36,{2,3,4},FALSE)</f>
        <v>1-1141-0055-০১০১</v>
      </c>
      <c r="AC2" s="464" t="str">
        <v>1-1141-0055-0১১১</v>
      </c>
      <c r="AD2" s="464" t="str">
        <v>1-1141-0055-১৮৭৬</v>
      </c>
      <c r="AF2" s="465" t="str">
        <f>IF(AA2=AB4,AB2,IF(AA2=AC4,AC2,IF(AA2=AD4,AD2,0)))</f>
        <v>1-1141-0055-0১১১</v>
      </c>
      <c r="AI2" s="466" t="s">
        <v>158</v>
      </c>
      <c r="AJ2" s="467" t="str">
        <f>'Data Input'!F8</f>
        <v>Individual</v>
      </c>
      <c r="AK2" s="1239" t="s">
        <v>577</v>
      </c>
      <c r="AL2" s="1240"/>
      <c r="AM2" s="1241"/>
    </row>
    <row r="3" spans="2:40" ht="20.25" customHeight="1">
      <c r="K3" s="1261" t="s">
        <v>475</v>
      </c>
      <c r="L3" s="1261"/>
      <c r="AA3" s="1248" t="s">
        <v>361</v>
      </c>
      <c r="AB3" s="1249"/>
      <c r="AC3" s="1249"/>
      <c r="AD3" s="1250"/>
      <c r="AI3" s="468" t="s">
        <v>523</v>
      </c>
      <c r="AJ3" s="469" t="s">
        <v>523</v>
      </c>
      <c r="AK3" s="470">
        <f>IF(I7&gt;0,I7,0)</f>
        <v>175000</v>
      </c>
      <c r="AL3" s="471" t="str">
        <f>_xlfn.XLOOKUP(AJ2,AI3:AI38,AJ3:AJ38,0,1)</f>
        <v>Individual</v>
      </c>
      <c r="AM3" s="471" t="s">
        <v>577</v>
      </c>
    </row>
    <row r="4" spans="2:40" ht="17.25" customHeight="1">
      <c r="B4" s="472" t="s">
        <v>141</v>
      </c>
      <c r="C4" s="473"/>
      <c r="D4" s="474">
        <f>'Sheet of Calculation'!D24</f>
        <v>5462355</v>
      </c>
      <c r="E4" s="475">
        <f>'Sheet of Calculation'!E24</f>
        <v>84000</v>
      </c>
      <c r="F4" s="476"/>
      <c r="H4" s="1253" t="s">
        <v>580</v>
      </c>
      <c r="I4" s="477">
        <v>2.5000000000000001E-3</v>
      </c>
      <c r="J4" s="478"/>
      <c r="K4" s="479" t="s">
        <v>476</v>
      </c>
      <c r="L4" s="480"/>
      <c r="AA4" s="481" t="s">
        <v>466</v>
      </c>
      <c r="AB4" s="463" t="s">
        <v>362</v>
      </c>
      <c r="AC4" s="463" t="s">
        <v>363</v>
      </c>
      <c r="AD4" s="463" t="s">
        <v>364</v>
      </c>
      <c r="AI4" s="468" t="s">
        <v>313</v>
      </c>
      <c r="AJ4" s="482" t="s">
        <v>523</v>
      </c>
      <c r="AK4" s="483" t="str">
        <f>IF(AK3&gt;0,AM3,AM4)</f>
        <v>Trunover Tax</v>
      </c>
      <c r="AL4" s="484" t="s">
        <v>548</v>
      </c>
      <c r="AM4" s="471" t="s">
        <v>578</v>
      </c>
    </row>
    <row r="5" spans="2:40" ht="15.75">
      <c r="B5" s="485" t="s">
        <v>142</v>
      </c>
      <c r="C5" s="486"/>
      <c r="D5" s="487">
        <f>'Sheet of Calculation'!D25</f>
        <v>1728142</v>
      </c>
      <c r="E5" s="488">
        <f>'Data Input'!F35</f>
        <v>180000</v>
      </c>
      <c r="F5" s="476" t="s">
        <v>34</v>
      </c>
      <c r="H5" s="1254"/>
      <c r="I5" s="477">
        <v>6.0000000000000001E-3</v>
      </c>
      <c r="K5" s="489">
        <f>IF(L7&gt;L6,K4,L5)</f>
        <v>0</v>
      </c>
      <c r="L5" s="490">
        <v>0</v>
      </c>
      <c r="AA5" s="491" t="s">
        <v>189</v>
      </c>
      <c r="AB5" s="491" t="s">
        <v>366</v>
      </c>
      <c r="AC5" s="491" t="s">
        <v>367</v>
      </c>
      <c r="AD5" s="491" t="s">
        <v>368</v>
      </c>
      <c r="AG5" s="492"/>
      <c r="AI5" s="468" t="s">
        <v>306</v>
      </c>
      <c r="AJ5" s="482" t="s">
        <v>523</v>
      </c>
    </row>
    <row r="6" spans="2:40" ht="16.5">
      <c r="B6" s="485" t="s">
        <v>143</v>
      </c>
      <c r="C6" s="486"/>
      <c r="D6" s="493">
        <f>'Sheet of Calculation'!D26</f>
        <v>7190497</v>
      </c>
      <c r="E6" s="475"/>
      <c r="F6" s="476"/>
      <c r="H6" s="494" t="s">
        <v>579</v>
      </c>
      <c r="I6" s="495">
        <f>'Data Input'!F9</f>
        <v>70000000</v>
      </c>
      <c r="K6" s="496" t="s">
        <v>243</v>
      </c>
      <c r="L6" s="497">
        <f>F17</f>
        <v>1203706.5</v>
      </c>
      <c r="AA6" s="491" t="s">
        <v>190</v>
      </c>
      <c r="AB6" s="491" t="s">
        <v>369</v>
      </c>
      <c r="AC6" s="491" t="s">
        <v>370</v>
      </c>
      <c r="AD6" s="491" t="s">
        <v>371</v>
      </c>
      <c r="AG6" s="492"/>
      <c r="AI6" s="468" t="s">
        <v>575</v>
      </c>
      <c r="AJ6" s="482" t="s">
        <v>523</v>
      </c>
      <c r="AK6" s="498" t="s">
        <v>523</v>
      </c>
      <c r="AL6" s="499">
        <v>30000000</v>
      </c>
      <c r="AM6" s="500">
        <f>IF(I6&gt;=AL6,I6*I4,0)</f>
        <v>175000</v>
      </c>
    </row>
    <row r="7" spans="2:40" ht="16.5">
      <c r="B7" s="472" t="s">
        <v>144</v>
      </c>
      <c r="C7" s="473"/>
      <c r="D7" s="487">
        <f>'Sheet of Calculation'!D27</f>
        <v>0</v>
      </c>
      <c r="E7" s="475">
        <f>'Sheet of Calculation'!E27</f>
        <v>0</v>
      </c>
      <c r="F7" s="476" t="s">
        <v>156</v>
      </c>
      <c r="H7" s="501" t="str">
        <f>AK4</f>
        <v>Trunover Tax</v>
      </c>
      <c r="I7" s="502">
        <f>_xlfn.XLOOKUP(AL3,AK6:AK9,AM6:AM9,0,1)</f>
        <v>175000</v>
      </c>
      <c r="K7" s="496" t="str">
        <f>'Data Input'!D45</f>
        <v>153 avivq Mvwoi AwMÖg AvqKi</v>
      </c>
      <c r="L7" s="503">
        <f>'Data Input'!E45</f>
        <v>75000</v>
      </c>
      <c r="AA7" s="491" t="s">
        <v>191</v>
      </c>
      <c r="AB7" s="491" t="s">
        <v>372</v>
      </c>
      <c r="AC7" s="491" t="s">
        <v>373</v>
      </c>
      <c r="AD7" s="491" t="s">
        <v>374</v>
      </c>
      <c r="AI7" s="468" t="s">
        <v>315</v>
      </c>
      <c r="AJ7" s="482" t="s">
        <v>592</v>
      </c>
      <c r="AK7" s="504" t="s">
        <v>592</v>
      </c>
      <c r="AL7" s="505">
        <v>5000000</v>
      </c>
      <c r="AM7" s="506">
        <f>IF(I6&gt;=AL7,I6*I5,0)</f>
        <v>420000</v>
      </c>
      <c r="AN7" s="507"/>
    </row>
    <row r="8" spans="2:40" ht="16.5">
      <c r="B8" s="1244"/>
      <c r="C8" s="1245"/>
      <c r="D8" s="1246"/>
      <c r="E8" s="1246"/>
      <c r="F8" s="1247"/>
      <c r="K8" s="508" t="s">
        <v>477</v>
      </c>
      <c r="L8" s="1051">
        <f>IF(L7&gt;L6,L7,L6)</f>
        <v>1203706.5</v>
      </c>
      <c r="AA8" s="491" t="s">
        <v>192</v>
      </c>
      <c r="AB8" s="491" t="s">
        <v>375</v>
      </c>
      <c r="AC8" s="491" t="s">
        <v>376</v>
      </c>
      <c r="AD8" s="491" t="s">
        <v>377</v>
      </c>
      <c r="AI8" s="468" t="s">
        <v>316</v>
      </c>
      <c r="AJ8" s="482" t="s">
        <v>592</v>
      </c>
      <c r="AK8" s="504" t="s">
        <v>790</v>
      </c>
      <c r="AL8" s="505">
        <v>0</v>
      </c>
      <c r="AM8" s="506">
        <f>IF(I6&gt;=AL8,I6*I5,0)</f>
        <v>420000</v>
      </c>
    </row>
    <row r="9" spans="2:40" ht="17.25" thickBot="1">
      <c r="B9" s="509" t="s">
        <v>35</v>
      </c>
      <c r="C9" s="509"/>
      <c r="D9" s="509" t="s">
        <v>28</v>
      </c>
      <c r="E9" s="509" t="s">
        <v>27</v>
      </c>
      <c r="F9" s="509" t="s">
        <v>26</v>
      </c>
      <c r="J9" s="20"/>
      <c r="L9" s="22"/>
      <c r="AA9" s="491" t="s">
        <v>193</v>
      </c>
      <c r="AB9" s="491" t="s">
        <v>378</v>
      </c>
      <c r="AC9" s="491" t="s">
        <v>379</v>
      </c>
      <c r="AD9" s="491" t="s">
        <v>380</v>
      </c>
      <c r="AI9" s="468" t="s">
        <v>524</v>
      </c>
      <c r="AJ9" s="482" t="s">
        <v>592</v>
      </c>
      <c r="AK9" s="510" t="s">
        <v>161</v>
      </c>
      <c r="AL9" s="511">
        <f>AL7</f>
        <v>5000000</v>
      </c>
      <c r="AM9" s="512">
        <f>IF(I6&gt;=AL9,I6*I5,0)</f>
        <v>420000</v>
      </c>
    </row>
    <row r="10" spans="2:40" ht="16.5">
      <c r="B10" s="978"/>
      <c r="C10" s="979">
        <f>D6</f>
        <v>7190497</v>
      </c>
      <c r="D10" s="1053">
        <f>'MisC Cal-1'!D67</f>
        <v>350000</v>
      </c>
      <c r="E10" s="513">
        <f>'MisC Cal-1'!E67</f>
        <v>0</v>
      </c>
      <c r="F10" s="514">
        <f>MIN(C10:D10)*E10</f>
        <v>0</v>
      </c>
      <c r="H10" s="515" t="s">
        <v>480</v>
      </c>
      <c r="I10" s="516">
        <f>'Data Input'!F35</f>
        <v>180000</v>
      </c>
      <c r="J10" s="517"/>
      <c r="AA10" s="491" t="s">
        <v>194</v>
      </c>
      <c r="AB10" s="491" t="s">
        <v>381</v>
      </c>
      <c r="AC10" s="491" t="s">
        <v>382</v>
      </c>
      <c r="AD10" s="491" t="s">
        <v>383</v>
      </c>
      <c r="AI10" s="468" t="s">
        <v>533</v>
      </c>
      <c r="AJ10" s="482" t="s">
        <v>790</v>
      </c>
    </row>
    <row r="11" spans="2:40" ht="16.5">
      <c r="B11" s="980"/>
      <c r="C11" s="981">
        <f t="shared" ref="C11:C16" si="0">IF(C10&gt;D10,(C10-D10),0)</f>
        <v>6840497</v>
      </c>
      <c r="D11" s="1054">
        <f>'MisC Cal-1'!D68</f>
        <v>100000</v>
      </c>
      <c r="E11" s="513">
        <f>'MisC Cal-1'!E68</f>
        <v>0.05</v>
      </c>
      <c r="F11" s="518">
        <f>MIN(C11:D11)*E11</f>
        <v>5000</v>
      </c>
      <c r="H11" s="519" t="s">
        <v>581</v>
      </c>
      <c r="I11" s="516">
        <f>G17</f>
        <v>518442.60000000009</v>
      </c>
      <c r="J11" s="520"/>
      <c r="AA11" s="491" t="s">
        <v>195</v>
      </c>
      <c r="AB11" s="491" t="s">
        <v>384</v>
      </c>
      <c r="AC11" s="491" t="s">
        <v>385</v>
      </c>
      <c r="AD11" s="491" t="s">
        <v>386</v>
      </c>
      <c r="AI11" s="468" t="s">
        <v>790</v>
      </c>
      <c r="AJ11" s="482" t="s">
        <v>790</v>
      </c>
    </row>
    <row r="12" spans="2:40" ht="16.5">
      <c r="B12" s="980"/>
      <c r="C12" s="981">
        <f t="shared" si="0"/>
        <v>6740497</v>
      </c>
      <c r="D12" s="1054">
        <f>'MisC Cal-1'!D69</f>
        <v>400000</v>
      </c>
      <c r="E12" s="513">
        <f>'MisC Cal-1'!E69</f>
        <v>0.1</v>
      </c>
      <c r="F12" s="518">
        <f>MIN(C12:D12)*E12</f>
        <v>40000</v>
      </c>
      <c r="H12" s="519" t="str">
        <f>H7</f>
        <v>Trunover Tax</v>
      </c>
      <c r="I12" s="521">
        <f>I7</f>
        <v>175000</v>
      </c>
      <c r="K12" s="1262" t="s">
        <v>115</v>
      </c>
      <c r="L12" s="1263"/>
      <c r="AA12" s="491" t="s">
        <v>196</v>
      </c>
      <c r="AB12" s="491" t="s">
        <v>387</v>
      </c>
      <c r="AC12" s="491" t="s">
        <v>388</v>
      </c>
      <c r="AD12" s="491" t="s">
        <v>389</v>
      </c>
      <c r="AI12" s="468" t="s">
        <v>94</v>
      </c>
      <c r="AJ12" s="482" t="s">
        <v>523</v>
      </c>
    </row>
    <row r="13" spans="2:40" ht="15.75">
      <c r="B13" s="980"/>
      <c r="C13" s="981">
        <f t="shared" si="0"/>
        <v>6340497</v>
      </c>
      <c r="D13" s="1054">
        <f>'MisC Cal-1'!D70</f>
        <v>500000</v>
      </c>
      <c r="E13" s="513">
        <f>'MisC Cal-1'!E70</f>
        <v>0.15000000000000002</v>
      </c>
      <c r="F13" s="518">
        <f>MIN(C13:D13)*E13</f>
        <v>75000.000000000015</v>
      </c>
      <c r="K13" s="522" t="s">
        <v>148</v>
      </c>
      <c r="L13" s="523"/>
      <c r="AA13" s="491" t="s">
        <v>197</v>
      </c>
      <c r="AB13" s="491" t="s">
        <v>390</v>
      </c>
      <c r="AC13" s="491" t="s">
        <v>391</v>
      </c>
      <c r="AD13" s="491" t="s">
        <v>392</v>
      </c>
      <c r="AI13" s="468" t="s">
        <v>159</v>
      </c>
      <c r="AJ13" s="482" t="s">
        <v>523</v>
      </c>
      <c r="AK13" s="524"/>
    </row>
    <row r="14" spans="2:40" ht="16.5" customHeight="1" thickBot="1">
      <c r="B14" s="980"/>
      <c r="C14" s="981">
        <f t="shared" si="0"/>
        <v>5840497</v>
      </c>
      <c r="D14" s="1054">
        <f>'MisC Cal-1'!D71</f>
        <v>500000</v>
      </c>
      <c r="E14" s="513">
        <f>'MisC Cal-1'!E71</f>
        <v>0.2</v>
      </c>
      <c r="F14" s="518">
        <f>MIN(C14:D14)*E14</f>
        <v>100000</v>
      </c>
      <c r="N14" s="1251" t="s">
        <v>294</v>
      </c>
      <c r="O14" s="1252"/>
      <c r="AA14" s="491" t="s">
        <v>198</v>
      </c>
      <c r="AB14" s="491" t="s">
        <v>393</v>
      </c>
      <c r="AC14" s="491" t="s">
        <v>394</v>
      </c>
      <c r="AD14" s="491" t="s">
        <v>395</v>
      </c>
      <c r="AI14" s="468" t="s">
        <v>160</v>
      </c>
      <c r="AJ14" s="482" t="s">
        <v>523</v>
      </c>
    </row>
    <row r="15" spans="2:40" ht="15.75">
      <c r="B15" s="980"/>
      <c r="C15" s="981">
        <f t="shared" si="0"/>
        <v>5340497</v>
      </c>
      <c r="D15" s="1054">
        <f>'MisC Cal-1'!D72</f>
        <v>2000000</v>
      </c>
      <c r="E15" s="513">
        <f>'MisC Cal-1'!E72</f>
        <v>0.25</v>
      </c>
      <c r="F15" s="518">
        <f>_xlfn.XLOOKUP('MisC Intrst-3'!L3,'MisC Intrst-3'!R10:R23,'MisC Intrst-3'!AR10:AR23,0)</f>
        <v>500000</v>
      </c>
      <c r="G15" s="525" t="s">
        <v>248</v>
      </c>
      <c r="H15" s="526" t="s">
        <v>480</v>
      </c>
      <c r="K15" s="529" t="s">
        <v>478</v>
      </c>
      <c r="L15" s="530">
        <f>L8+F18</f>
        <v>1722149.1</v>
      </c>
      <c r="N15" s="531" t="s">
        <v>292</v>
      </c>
      <c r="O15" s="531">
        <f>'Data Input'!F33</f>
        <v>84000</v>
      </c>
      <c r="AA15" s="491" t="s">
        <v>199</v>
      </c>
      <c r="AB15" s="491" t="s">
        <v>396</v>
      </c>
      <c r="AC15" s="491" t="s">
        <v>397</v>
      </c>
      <c r="AD15" s="491" t="s">
        <v>398</v>
      </c>
      <c r="AI15" s="468" t="s">
        <v>308</v>
      </c>
      <c r="AJ15" s="482" t="s">
        <v>523</v>
      </c>
    </row>
    <row r="16" spans="2:40" ht="17.25" thickBot="1">
      <c r="B16" s="1058"/>
      <c r="C16" s="1059">
        <f t="shared" si="0"/>
        <v>3340497</v>
      </c>
      <c r="D16" s="1060" t="str">
        <f>'MisC Cal-1'!D73</f>
        <v xml:space="preserve"> Aewkó </v>
      </c>
      <c r="E16" s="1061">
        <f>'MisC Cal-1'!E73</f>
        <v>0.3</v>
      </c>
      <c r="F16" s="527">
        <f>IF(C16&gt;0,(C16*E16),0)</f>
        <v>1002149.1</v>
      </c>
      <c r="G16" s="972">
        <f>SUM(F10:F16)</f>
        <v>1722149.1</v>
      </c>
      <c r="H16" s="528">
        <f>'Data Input'!F35</f>
        <v>180000</v>
      </c>
      <c r="K16" s="536" t="s">
        <v>40</v>
      </c>
      <c r="L16" s="537">
        <f>'MisC Cal-2'!D69</f>
        <v>258717.25940803008</v>
      </c>
      <c r="N16" s="975" t="s">
        <v>295</v>
      </c>
      <c r="O16" s="538">
        <f>'Data Input'!F35+'Data Input'!F37</f>
        <v>180000</v>
      </c>
      <c r="AA16" s="491" t="s">
        <v>200</v>
      </c>
      <c r="AB16" s="491" t="s">
        <v>399</v>
      </c>
      <c r="AC16" s="491" t="s">
        <v>400</v>
      </c>
      <c r="AD16" s="491" t="s">
        <v>401</v>
      </c>
      <c r="AI16" s="468" t="s">
        <v>309</v>
      </c>
      <c r="AJ16" s="482" t="s">
        <v>523</v>
      </c>
    </row>
    <row r="17" spans="2:36" ht="17.25" thickTop="1">
      <c r="B17" s="976" t="s">
        <v>243</v>
      </c>
      <c r="C17" s="977"/>
      <c r="D17" s="977"/>
      <c r="E17" s="1055"/>
      <c r="F17" s="534">
        <f>SUM('Sheet of Calculation'!F30:F36)</f>
        <v>1203706.5</v>
      </c>
      <c r="G17" s="535">
        <f>IF((G16-F17)&lt;0,0,(G16-F17))</f>
        <v>518442.60000000009</v>
      </c>
      <c r="K17" s="540" t="s">
        <v>479</v>
      </c>
      <c r="L17" s="541">
        <f>E34-H16</f>
        <v>1283431.8405919699</v>
      </c>
      <c r="N17" s="531" t="s">
        <v>473</v>
      </c>
      <c r="O17" s="531">
        <f>'Data Input'!E44</f>
        <v>400000</v>
      </c>
      <c r="AA17" s="491" t="s">
        <v>201</v>
      </c>
      <c r="AB17" s="491" t="s">
        <v>402</v>
      </c>
      <c r="AC17" s="491" t="s">
        <v>403</v>
      </c>
      <c r="AD17" s="491" t="s">
        <v>404</v>
      </c>
      <c r="AI17" s="468" t="s">
        <v>314</v>
      </c>
      <c r="AJ17" s="482" t="s">
        <v>523</v>
      </c>
    </row>
    <row r="18" spans="2:36" ht="15.75">
      <c r="B18" s="976" t="s">
        <v>249</v>
      </c>
      <c r="C18" s="977"/>
      <c r="D18" s="532"/>
      <c r="E18" s="533"/>
      <c r="F18" s="539">
        <f>MAX(I10:I12)</f>
        <v>518442.60000000009</v>
      </c>
      <c r="K18" s="543" t="s">
        <v>116</v>
      </c>
      <c r="L18" s="544">
        <f>L17+'MisC Cal-2'!D10</f>
        <v>1283431.8405919699</v>
      </c>
      <c r="N18" s="545" t="s">
        <v>293</v>
      </c>
      <c r="O18" s="531">
        <f>'Data Input'!E46</f>
        <v>0</v>
      </c>
      <c r="AA18" s="491" t="s">
        <v>202</v>
      </c>
      <c r="AB18" s="491" t="s">
        <v>405</v>
      </c>
      <c r="AC18" s="491" t="s">
        <v>406</v>
      </c>
      <c r="AD18" s="491" t="s">
        <v>407</v>
      </c>
      <c r="AI18" s="468" t="s">
        <v>312</v>
      </c>
      <c r="AJ18" s="482" t="s">
        <v>523</v>
      </c>
    </row>
    <row r="19" spans="2:36" ht="16.5">
      <c r="B19" s="976" t="s">
        <v>250</v>
      </c>
      <c r="C19" s="977"/>
      <c r="D19" s="532"/>
      <c r="E19" s="533"/>
      <c r="F19" s="542">
        <f>'Data Input'!F37</f>
        <v>0</v>
      </c>
      <c r="K19" s="522" t="s">
        <v>472</v>
      </c>
      <c r="L19" s="546">
        <f>'Data Input'!E45</f>
        <v>75000</v>
      </c>
      <c r="N19" s="547" t="s">
        <v>301</v>
      </c>
      <c r="O19" s="548">
        <f>SUM(O15:O18)</f>
        <v>664000</v>
      </c>
      <c r="AA19" s="491" t="s">
        <v>203</v>
      </c>
      <c r="AB19" s="491" t="s">
        <v>408</v>
      </c>
      <c r="AC19" s="491" t="s">
        <v>409</v>
      </c>
      <c r="AD19" s="491" t="s">
        <v>410</v>
      </c>
      <c r="AI19" s="468" t="s">
        <v>310</v>
      </c>
      <c r="AJ19" s="482" t="s">
        <v>523</v>
      </c>
    </row>
    <row r="20" spans="2:36" ht="16.5">
      <c r="B20" s="1052" t="s">
        <v>242</v>
      </c>
      <c r="C20" s="977"/>
      <c r="D20" s="532"/>
      <c r="E20" s="533"/>
      <c r="F20" s="1062">
        <f>SUM(F17:F19)</f>
        <v>1722149.1</v>
      </c>
      <c r="K20" s="549" t="s">
        <v>290</v>
      </c>
      <c r="L20" s="550">
        <f>L18-L19</f>
        <v>1208431.8405919699</v>
      </c>
      <c r="AA20" s="491" t="s">
        <v>207</v>
      </c>
      <c r="AB20" s="491" t="s">
        <v>411</v>
      </c>
      <c r="AC20" s="491" t="s">
        <v>412</v>
      </c>
      <c r="AD20" s="491" t="s">
        <v>413</v>
      </c>
      <c r="AI20" s="468" t="s">
        <v>311</v>
      </c>
      <c r="AJ20" s="482" t="s">
        <v>523</v>
      </c>
    </row>
    <row r="21" spans="2:36" ht="15.75">
      <c r="K21" s="551" t="s">
        <v>291</v>
      </c>
      <c r="L21" s="552">
        <f>IF(L20&gt;=0,L20,0)</f>
        <v>1208431.8405919699</v>
      </c>
      <c r="AA21" s="491" t="s">
        <v>208</v>
      </c>
      <c r="AB21" s="491" t="s">
        <v>414</v>
      </c>
      <c r="AC21" s="491" t="s">
        <v>415</v>
      </c>
      <c r="AD21" s="491" t="s">
        <v>416</v>
      </c>
      <c r="AI21" s="468" t="s">
        <v>317</v>
      </c>
      <c r="AJ21" s="482" t="s">
        <v>523</v>
      </c>
    </row>
    <row r="22" spans="2:36" ht="15.75">
      <c r="K22" s="551" t="s">
        <v>298</v>
      </c>
      <c r="L22" s="515">
        <f>L21+H16+F19</f>
        <v>1388431.8405919699</v>
      </c>
      <c r="AA22" s="491" t="s">
        <v>365</v>
      </c>
      <c r="AB22" s="491" t="s">
        <v>417</v>
      </c>
      <c r="AC22" s="491" t="s">
        <v>418</v>
      </c>
      <c r="AD22" s="491" t="s">
        <v>419</v>
      </c>
      <c r="AI22" s="468" t="s">
        <v>318</v>
      </c>
      <c r="AJ22" s="482" t="s">
        <v>523</v>
      </c>
    </row>
    <row r="23" spans="2:36" ht="19.5">
      <c r="B23" s="1243"/>
      <c r="C23" s="1243"/>
      <c r="K23" s="553" t="s">
        <v>67</v>
      </c>
      <c r="L23" s="554">
        <f>L22-O19</f>
        <v>724431.8405919699</v>
      </c>
      <c r="AA23" s="491" t="s">
        <v>209</v>
      </c>
      <c r="AB23" s="491" t="s">
        <v>420</v>
      </c>
      <c r="AC23" s="491" t="s">
        <v>421</v>
      </c>
      <c r="AD23" s="491" t="s">
        <v>422</v>
      </c>
      <c r="AI23" s="468" t="s">
        <v>319</v>
      </c>
      <c r="AJ23" s="482" t="s">
        <v>523</v>
      </c>
    </row>
    <row r="24" spans="2:36" ht="15.75">
      <c r="C24" s="555"/>
      <c r="E24" s="555"/>
      <c r="AA24" s="491" t="s">
        <v>210</v>
      </c>
      <c r="AB24" s="491" t="s">
        <v>423</v>
      </c>
      <c r="AC24" s="491" t="s">
        <v>424</v>
      </c>
      <c r="AD24" s="491" t="s">
        <v>425</v>
      </c>
      <c r="AI24" s="468" t="s">
        <v>320</v>
      </c>
      <c r="AJ24" s="482" t="s">
        <v>523</v>
      </c>
    </row>
    <row r="25" spans="2:36" ht="16.5">
      <c r="B25" s="1265" t="s">
        <v>245</v>
      </c>
      <c r="C25" s="1266"/>
      <c r="D25" s="1266"/>
      <c r="E25" s="1267"/>
      <c r="F25" s="556"/>
      <c r="J25" s="2"/>
      <c r="AA25" s="491" t="s">
        <v>213</v>
      </c>
      <c r="AB25" s="491" t="s">
        <v>426</v>
      </c>
      <c r="AC25" s="491" t="s">
        <v>427</v>
      </c>
      <c r="AD25" s="491" t="s">
        <v>428</v>
      </c>
      <c r="AI25" s="557" t="s">
        <v>321</v>
      </c>
      <c r="AJ25" s="482" t="s">
        <v>523</v>
      </c>
    </row>
    <row r="26" spans="2:36" ht="15.75">
      <c r="B26" s="558"/>
      <c r="F26" s="559"/>
      <c r="J26" s="2"/>
      <c r="L26" s="560"/>
      <c r="AA26" s="491" t="s">
        <v>216</v>
      </c>
      <c r="AB26" s="491" t="s">
        <v>429</v>
      </c>
      <c r="AC26" s="491" t="s">
        <v>430</v>
      </c>
      <c r="AD26" s="491" t="s">
        <v>431</v>
      </c>
      <c r="AI26" s="468" t="s">
        <v>307</v>
      </c>
      <c r="AJ26" s="482" t="s">
        <v>523</v>
      </c>
    </row>
    <row r="27" spans="2:36" ht="15.75">
      <c r="B27" s="561" t="s">
        <v>296</v>
      </c>
      <c r="C27" s="562"/>
      <c r="D27" s="563"/>
      <c r="E27" s="564">
        <f>'Data Input'!E36</f>
        <v>7190497</v>
      </c>
      <c r="AA27" s="491" t="s">
        <v>212</v>
      </c>
      <c r="AB27" s="491" t="s">
        <v>432</v>
      </c>
      <c r="AC27" s="491" t="s">
        <v>433</v>
      </c>
      <c r="AD27" s="491" t="s">
        <v>434</v>
      </c>
      <c r="AI27" s="468" t="s">
        <v>525</v>
      </c>
      <c r="AJ27" s="482" t="s">
        <v>592</v>
      </c>
    </row>
    <row r="28" spans="2:36" ht="15.75">
      <c r="B28" s="565" t="s">
        <v>112</v>
      </c>
      <c r="C28" s="566"/>
      <c r="D28" s="567"/>
      <c r="E28" s="564">
        <f>'Sheet of Calculation'!D30</f>
        <v>350000</v>
      </c>
      <c r="AA28" s="491" t="s">
        <v>214</v>
      </c>
      <c r="AB28" s="491" t="s">
        <v>435</v>
      </c>
      <c r="AC28" s="491" t="s">
        <v>436</v>
      </c>
      <c r="AD28" s="491" t="s">
        <v>437</v>
      </c>
      <c r="AI28" s="468" t="s">
        <v>526</v>
      </c>
      <c r="AJ28" s="482" t="s">
        <v>161</v>
      </c>
    </row>
    <row r="29" spans="2:36" ht="15.75">
      <c r="B29" s="568" t="s">
        <v>478</v>
      </c>
      <c r="C29" s="569"/>
      <c r="D29" s="570"/>
      <c r="E29" s="530">
        <f>L8+F18</f>
        <v>1722149.1</v>
      </c>
      <c r="J29" s="1"/>
      <c r="AA29" s="491" t="s">
        <v>204</v>
      </c>
      <c r="AB29" s="491" t="s">
        <v>438</v>
      </c>
      <c r="AC29" s="491" t="s">
        <v>439</v>
      </c>
      <c r="AD29" s="491" t="s">
        <v>440</v>
      </c>
      <c r="AI29" s="468" t="s">
        <v>527</v>
      </c>
      <c r="AJ29" s="482" t="s">
        <v>592</v>
      </c>
    </row>
    <row r="30" spans="2:36" ht="15.75">
      <c r="B30" s="571" t="s">
        <v>40</v>
      </c>
      <c r="C30" s="569"/>
      <c r="D30" s="570"/>
      <c r="E30" s="537">
        <f>'MisC Cal-2'!D69</f>
        <v>258717.25940803008</v>
      </c>
      <c r="AA30" s="491" t="s">
        <v>205</v>
      </c>
      <c r="AB30" s="491" t="s">
        <v>441</v>
      </c>
      <c r="AC30" s="491" t="s">
        <v>442</v>
      </c>
      <c r="AD30" s="491" t="s">
        <v>443</v>
      </c>
      <c r="AI30" s="468" t="s">
        <v>530</v>
      </c>
      <c r="AJ30" s="482" t="s">
        <v>592</v>
      </c>
    </row>
    <row r="31" spans="2:36" ht="15.75">
      <c r="B31" s="572" t="s">
        <v>481</v>
      </c>
      <c r="C31" s="573"/>
      <c r="D31" s="574"/>
      <c r="E31" s="575">
        <f>F18+E41</f>
        <v>1463431.8405919699</v>
      </c>
      <c r="F31" s="576">
        <v>3000</v>
      </c>
      <c r="AA31" s="491" t="s">
        <v>215</v>
      </c>
      <c r="AB31" s="491" t="s">
        <v>444</v>
      </c>
      <c r="AC31" s="491" t="s">
        <v>445</v>
      </c>
      <c r="AD31" s="491" t="s">
        <v>446</v>
      </c>
      <c r="AI31" s="468" t="s">
        <v>532</v>
      </c>
      <c r="AJ31" s="482" t="s">
        <v>790</v>
      </c>
    </row>
    <row r="32" spans="2:36" ht="15.75">
      <c r="B32" s="577" t="s">
        <v>113</v>
      </c>
      <c r="C32" s="578"/>
      <c r="D32" s="579"/>
      <c r="E32" s="564">
        <f>'Data Input'!I6</f>
        <v>4000</v>
      </c>
      <c r="F32" s="576">
        <v>4000</v>
      </c>
      <c r="AA32" s="491" t="s">
        <v>211</v>
      </c>
      <c r="AB32" s="491" t="s">
        <v>447</v>
      </c>
      <c r="AC32" s="491" t="s">
        <v>448</v>
      </c>
      <c r="AD32" s="491" t="s">
        <v>449</v>
      </c>
      <c r="AI32" s="468" t="s">
        <v>528</v>
      </c>
      <c r="AJ32" s="482" t="s">
        <v>790</v>
      </c>
    </row>
    <row r="33" spans="2:36" ht="16.5">
      <c r="B33" s="580" t="s">
        <v>251</v>
      </c>
      <c r="C33" s="578"/>
      <c r="D33" s="579"/>
      <c r="E33" s="581">
        <f>IF(E27&gt;E28,MAX(E31:E32),E31)</f>
        <v>1463431.8405919699</v>
      </c>
      <c r="F33" s="576">
        <v>5000</v>
      </c>
      <c r="AA33" s="491" t="s">
        <v>206</v>
      </c>
      <c r="AB33" s="491" t="s">
        <v>450</v>
      </c>
      <c r="AC33" s="491" t="s">
        <v>451</v>
      </c>
      <c r="AD33" s="491" t="s">
        <v>452</v>
      </c>
      <c r="AI33" s="468" t="s">
        <v>529</v>
      </c>
      <c r="AJ33" s="482" t="s">
        <v>161</v>
      </c>
    </row>
    <row r="34" spans="2:36" ht="16.5">
      <c r="B34" s="582" t="s">
        <v>111</v>
      </c>
      <c r="C34" s="583"/>
      <c r="D34" s="584"/>
      <c r="E34" s="585">
        <f>IF(E33&gt;='Data Input'!I6,'MisC Cal-1'!E33,0)</f>
        <v>1463431.8405919699</v>
      </c>
      <c r="AA34" s="491" t="s">
        <v>188</v>
      </c>
      <c r="AB34" s="491" t="s">
        <v>453</v>
      </c>
      <c r="AC34" s="491" t="s">
        <v>454</v>
      </c>
      <c r="AD34" s="491" t="s">
        <v>455</v>
      </c>
      <c r="AI34" s="468" t="s">
        <v>531</v>
      </c>
      <c r="AJ34" s="482" t="s">
        <v>790</v>
      </c>
    </row>
    <row r="35" spans="2:36" ht="16.5">
      <c r="B35" s="586" t="s">
        <v>482</v>
      </c>
      <c r="C35" s="587"/>
      <c r="D35" s="587"/>
      <c r="E35" s="588">
        <f>E34+F19</f>
        <v>1463431.8405919699</v>
      </c>
      <c r="AA35" s="491" t="s">
        <v>223</v>
      </c>
      <c r="AB35" s="491" t="s">
        <v>456</v>
      </c>
      <c r="AC35" s="491" t="s">
        <v>457</v>
      </c>
      <c r="AD35" s="491" t="s">
        <v>458</v>
      </c>
      <c r="AI35" s="468" t="s">
        <v>534</v>
      </c>
      <c r="AJ35" s="482" t="s">
        <v>161</v>
      </c>
    </row>
    <row r="36" spans="2:36" ht="15.75">
      <c r="AA36" s="491" t="s">
        <v>219</v>
      </c>
      <c r="AB36" s="589" t="s">
        <v>94</v>
      </c>
      <c r="AC36" s="590" t="s">
        <v>94</v>
      </c>
      <c r="AD36" s="491" t="s">
        <v>459</v>
      </c>
      <c r="AI36" s="468" t="s">
        <v>535</v>
      </c>
      <c r="AJ36" s="482" t="s">
        <v>790</v>
      </c>
    </row>
    <row r="37" spans="2:36" ht="15.75">
      <c r="AA37" s="491" t="s">
        <v>220</v>
      </c>
      <c r="AB37" s="589" t="s">
        <v>94</v>
      </c>
      <c r="AC37" s="590" t="s">
        <v>94</v>
      </c>
      <c r="AD37" s="590" t="s">
        <v>94</v>
      </c>
      <c r="AI37" s="468" t="s">
        <v>536</v>
      </c>
      <c r="AJ37" s="482" t="s">
        <v>790</v>
      </c>
    </row>
    <row r="38" spans="2:36" ht="16.5">
      <c r="B38" s="591" t="s">
        <v>243</v>
      </c>
      <c r="C38" s="592"/>
      <c r="D38" s="593"/>
      <c r="E38" s="594">
        <f>L8</f>
        <v>1203706.5</v>
      </c>
      <c r="AA38" s="491" t="s">
        <v>221</v>
      </c>
      <c r="AB38" s="589" t="s">
        <v>94</v>
      </c>
      <c r="AC38" s="590" t="s">
        <v>94</v>
      </c>
      <c r="AD38" s="590" t="s">
        <v>94</v>
      </c>
      <c r="AI38" s="468" t="s">
        <v>537</v>
      </c>
      <c r="AJ38" s="595" t="s">
        <v>592</v>
      </c>
    </row>
    <row r="39" spans="2:36" ht="15.75">
      <c r="B39" s="596" t="s">
        <v>244</v>
      </c>
      <c r="C39" s="597"/>
      <c r="D39" s="597"/>
      <c r="E39" s="111">
        <f>'MisC Cal-2'!D69</f>
        <v>258717.25940803008</v>
      </c>
      <c r="AA39" s="491" t="s">
        <v>222</v>
      </c>
      <c r="AB39" s="589" t="s">
        <v>94</v>
      </c>
      <c r="AC39" s="590" t="s">
        <v>94</v>
      </c>
      <c r="AD39" s="590" t="s">
        <v>94</v>
      </c>
    </row>
    <row r="40" spans="2:36" ht="15.75">
      <c r="B40" s="598"/>
      <c r="C40" s="592"/>
      <c r="D40" s="599" t="s">
        <v>247</v>
      </c>
      <c r="E40" s="600">
        <f>E38-E39</f>
        <v>944989.24059196992</v>
      </c>
      <c r="AA40" s="491" t="s">
        <v>218</v>
      </c>
      <c r="AB40" s="589" t="s">
        <v>94</v>
      </c>
      <c r="AC40" s="590" t="s">
        <v>94</v>
      </c>
      <c r="AD40" s="590" t="s">
        <v>94</v>
      </c>
    </row>
    <row r="41" spans="2:36" ht="15.75">
      <c r="B41" s="601" t="s">
        <v>246</v>
      </c>
      <c r="C41" s="602"/>
      <c r="D41" s="603"/>
      <c r="E41" s="604">
        <f>IF(E40&gt;=0,E40,0)</f>
        <v>944989.24059196992</v>
      </c>
    </row>
    <row r="42" spans="2:36" ht="16.5">
      <c r="B42" s="605"/>
      <c r="Z42" s="606" t="s">
        <v>465</v>
      </c>
      <c r="AA42" s="463" t="s">
        <v>467</v>
      </c>
      <c r="AD42" s="463" t="s">
        <v>364</v>
      </c>
    </row>
    <row r="43" spans="2:36" ht="15.75">
      <c r="Z43" s="607">
        <v>1</v>
      </c>
      <c r="AA43" s="491" t="s">
        <v>189</v>
      </c>
      <c r="AD43" s="491" t="s">
        <v>460</v>
      </c>
    </row>
    <row r="44" spans="2:36" ht="15.75">
      <c r="Z44" s="607">
        <v>2</v>
      </c>
      <c r="AA44" s="491" t="s">
        <v>190</v>
      </c>
      <c r="AD44" s="491" t="s">
        <v>461</v>
      </c>
    </row>
    <row r="45" spans="2:36" ht="20.25" customHeight="1">
      <c r="Z45" s="607">
        <v>3</v>
      </c>
      <c r="AA45" s="491" t="s">
        <v>191</v>
      </c>
      <c r="AD45" s="491" t="s">
        <v>462</v>
      </c>
    </row>
    <row r="46" spans="2:36" ht="17.25" customHeight="1">
      <c r="Z46" s="607">
        <v>4</v>
      </c>
      <c r="AA46" s="491" t="s">
        <v>192</v>
      </c>
      <c r="AD46" s="491" t="s">
        <v>463</v>
      </c>
    </row>
    <row r="47" spans="2:36" ht="17.25" customHeight="1">
      <c r="AA47" s="491" t="s">
        <v>213</v>
      </c>
      <c r="AD47" s="491" t="s">
        <v>464</v>
      </c>
    </row>
    <row r="48" spans="2:36" ht="17.25" customHeight="1">
      <c r="AA48" s="491" t="s">
        <v>210</v>
      </c>
      <c r="AD48" s="491"/>
    </row>
    <row r="49" spans="2:30" ht="17.25" customHeight="1">
      <c r="AA49" s="491" t="s">
        <v>217</v>
      </c>
      <c r="AD49" s="491"/>
    </row>
    <row r="52" spans="2:30" ht="13.5">
      <c r="B52" s="608"/>
      <c r="C52" s="609"/>
    </row>
    <row r="54" spans="2:30" ht="16.5">
      <c r="B54" s="610" t="str">
        <f>'Data Input'!D8</f>
        <v>পুরুষ</v>
      </c>
      <c r="C54" s="611" cm="1">
        <f t="array" ref="C54:P54">_xlfn.XLOOKUP(B54,B57:B64,C57:P64,{2,3,4,5,6,7,8,9,10,11,12,13,14},FALSE)</f>
        <v>250000</v>
      </c>
      <c r="D54" s="611">
        <v>250000</v>
      </c>
      <c r="E54" s="611">
        <v>250000</v>
      </c>
      <c r="F54" s="611">
        <v>250000</v>
      </c>
      <c r="G54" s="611">
        <v>300000</v>
      </c>
      <c r="H54" s="611">
        <v>300000</v>
      </c>
      <c r="I54" s="611">
        <v>300000</v>
      </c>
      <c r="J54" s="611">
        <v>350000</v>
      </c>
      <c r="K54" s="611">
        <v>350000</v>
      </c>
      <c r="L54" s="611">
        <v>350000</v>
      </c>
      <c r="M54" s="611">
        <v>375000</v>
      </c>
      <c r="N54" s="611">
        <v>375000</v>
      </c>
      <c r="O54" s="611">
        <v>375000</v>
      </c>
      <c r="P54" s="611">
        <v>375000</v>
      </c>
    </row>
    <row r="56" spans="2:30" ht="15.75">
      <c r="B56" s="612" t="s">
        <v>37</v>
      </c>
      <c r="C56" s="612" t="s">
        <v>483</v>
      </c>
      <c r="D56" s="612" t="s">
        <v>117</v>
      </c>
      <c r="E56" s="612" t="s">
        <v>484</v>
      </c>
      <c r="F56" s="612" t="s">
        <v>485</v>
      </c>
      <c r="G56" s="612" t="s">
        <v>75</v>
      </c>
      <c r="H56" s="612" t="s">
        <v>76</v>
      </c>
      <c r="I56" s="612" t="s">
        <v>486</v>
      </c>
      <c r="J56" s="612" t="s">
        <v>77</v>
      </c>
      <c r="K56" s="612" t="s">
        <v>82</v>
      </c>
      <c r="L56" s="612" t="s">
        <v>83</v>
      </c>
      <c r="M56" s="612" t="s">
        <v>487</v>
      </c>
      <c r="N56" s="612" t="s">
        <v>488</v>
      </c>
      <c r="O56" s="612" t="s">
        <v>489</v>
      </c>
      <c r="P56" s="612" t="s">
        <v>490</v>
      </c>
    </row>
    <row r="57" spans="2:30" ht="15.75">
      <c r="B57" s="613" t="s">
        <v>68</v>
      </c>
      <c r="C57" s="611">
        <v>250000</v>
      </c>
      <c r="D57" s="611">
        <v>250000</v>
      </c>
      <c r="E57" s="611">
        <v>250000</v>
      </c>
      <c r="F57" s="611">
        <v>250000</v>
      </c>
      <c r="G57" s="611">
        <v>300000</v>
      </c>
      <c r="H57" s="611">
        <v>300000</v>
      </c>
      <c r="I57" s="611">
        <v>300000</v>
      </c>
      <c r="J57" s="611">
        <v>350000</v>
      </c>
      <c r="K57" s="611">
        <v>350000</v>
      </c>
      <c r="L57" s="611">
        <v>350000</v>
      </c>
      <c r="M57" s="611">
        <v>375000</v>
      </c>
      <c r="N57" s="611">
        <v>375000</v>
      </c>
      <c r="O57" s="611">
        <v>375000</v>
      </c>
      <c r="P57" s="611">
        <v>375000</v>
      </c>
    </row>
    <row r="58" spans="2:30" ht="15" customHeight="1">
      <c r="B58" s="613" t="s">
        <v>71</v>
      </c>
      <c r="C58" s="611">
        <v>300000</v>
      </c>
      <c r="D58" s="611">
        <v>300000</v>
      </c>
      <c r="E58" s="611">
        <v>300000</v>
      </c>
      <c r="F58" s="611">
        <v>300000</v>
      </c>
      <c r="G58" s="611">
        <v>350000</v>
      </c>
      <c r="H58" s="611">
        <v>350000</v>
      </c>
      <c r="I58" s="611">
        <v>350000</v>
      </c>
      <c r="J58" s="611">
        <v>400000</v>
      </c>
      <c r="K58" s="611">
        <v>400000</v>
      </c>
      <c r="L58" s="611">
        <v>400000</v>
      </c>
      <c r="M58" s="611">
        <v>425000</v>
      </c>
      <c r="N58" s="611">
        <v>425000</v>
      </c>
      <c r="O58" s="611">
        <v>425000</v>
      </c>
      <c r="P58" s="611">
        <v>425000</v>
      </c>
    </row>
    <row r="59" spans="2:30" ht="15.75">
      <c r="B59" s="614" t="s">
        <v>72</v>
      </c>
      <c r="C59" s="611">
        <v>250000</v>
      </c>
      <c r="D59" s="611">
        <v>250000</v>
      </c>
      <c r="E59" s="611">
        <v>250000</v>
      </c>
      <c r="F59" s="611">
        <v>250000</v>
      </c>
      <c r="G59" s="611">
        <v>300000</v>
      </c>
      <c r="H59" s="611">
        <v>350000</v>
      </c>
      <c r="I59" s="611">
        <v>350000</v>
      </c>
      <c r="J59" s="611">
        <v>475000</v>
      </c>
      <c r="K59" s="611">
        <v>475000</v>
      </c>
      <c r="L59" s="611">
        <v>475000</v>
      </c>
      <c r="M59" s="611">
        <v>500000</v>
      </c>
      <c r="N59" s="611">
        <v>500000</v>
      </c>
      <c r="O59" s="611">
        <v>500000</v>
      </c>
      <c r="P59" s="611">
        <v>500000</v>
      </c>
    </row>
    <row r="60" spans="2:30" ht="15.75">
      <c r="B60" s="613" t="s">
        <v>73</v>
      </c>
      <c r="C60" s="611">
        <v>300000</v>
      </c>
      <c r="D60" s="611">
        <v>300000</v>
      </c>
      <c r="E60" s="611">
        <v>300000</v>
      </c>
      <c r="F60" s="611">
        <v>300000</v>
      </c>
      <c r="G60" s="611">
        <v>350000</v>
      </c>
      <c r="H60" s="611">
        <v>350000</v>
      </c>
      <c r="I60" s="611">
        <v>350000</v>
      </c>
      <c r="J60" s="611">
        <v>400000</v>
      </c>
      <c r="K60" s="611">
        <v>400000</v>
      </c>
      <c r="L60" s="611">
        <v>400000</v>
      </c>
      <c r="M60" s="611">
        <v>425000</v>
      </c>
      <c r="N60" s="611">
        <v>425000</v>
      </c>
      <c r="O60" s="611">
        <v>425000</v>
      </c>
      <c r="P60" s="611">
        <v>425000</v>
      </c>
    </row>
    <row r="61" spans="2:30" ht="15.75">
      <c r="B61" s="613" t="s">
        <v>74</v>
      </c>
      <c r="C61" s="611">
        <v>375000</v>
      </c>
      <c r="D61" s="611">
        <v>400000</v>
      </c>
      <c r="E61" s="611">
        <v>400000</v>
      </c>
      <c r="F61" s="611">
        <v>400000</v>
      </c>
      <c r="G61" s="611">
        <v>450000</v>
      </c>
      <c r="H61" s="611">
        <v>450000</v>
      </c>
      <c r="I61" s="611">
        <v>450000</v>
      </c>
      <c r="J61" s="611">
        <v>475000</v>
      </c>
      <c r="K61" s="611">
        <v>475000</v>
      </c>
      <c r="L61" s="611">
        <v>475000</v>
      </c>
      <c r="M61" s="611">
        <v>500000</v>
      </c>
      <c r="N61" s="611">
        <v>500000</v>
      </c>
      <c r="O61" s="611">
        <v>500000</v>
      </c>
      <c r="P61" s="611">
        <v>500000</v>
      </c>
    </row>
    <row r="62" spans="2:30" ht="15.75">
      <c r="B62" s="613" t="s">
        <v>794</v>
      </c>
      <c r="C62" s="611">
        <v>425000</v>
      </c>
      <c r="D62" s="611">
        <v>425000</v>
      </c>
      <c r="E62" s="611">
        <v>425000</v>
      </c>
      <c r="F62" s="611">
        <v>425000</v>
      </c>
      <c r="G62" s="611">
        <v>475000</v>
      </c>
      <c r="H62" s="611">
        <v>475000</v>
      </c>
      <c r="I62" s="611">
        <v>475000</v>
      </c>
      <c r="J62" s="611">
        <v>500000</v>
      </c>
      <c r="K62" s="611">
        <v>500000</v>
      </c>
      <c r="L62" s="611">
        <v>500000</v>
      </c>
      <c r="M62" s="611">
        <v>525000</v>
      </c>
      <c r="N62" s="611">
        <v>525000</v>
      </c>
      <c r="O62" s="611">
        <v>525000</v>
      </c>
      <c r="P62" s="611">
        <v>525000</v>
      </c>
    </row>
    <row r="63" spans="2:30" ht="15.75">
      <c r="B63" s="613" t="s">
        <v>69</v>
      </c>
      <c r="C63" s="611">
        <v>275000</v>
      </c>
      <c r="D63" s="611">
        <v>275000</v>
      </c>
      <c r="E63" s="611">
        <v>300000</v>
      </c>
      <c r="F63" s="611">
        <v>300000</v>
      </c>
      <c r="G63" s="611">
        <v>350000</v>
      </c>
      <c r="H63" s="611">
        <v>350000</v>
      </c>
      <c r="I63" s="611">
        <v>350000</v>
      </c>
      <c r="J63" s="611">
        <f t="shared" ref="J63:L64" si="1">J57+50000</f>
        <v>400000</v>
      </c>
      <c r="K63" s="611">
        <f t="shared" si="1"/>
        <v>400000</v>
      </c>
      <c r="L63" s="611">
        <f t="shared" si="1"/>
        <v>400000</v>
      </c>
      <c r="M63" s="611">
        <f t="shared" ref="M63:O63" si="2">M57+50000</f>
        <v>425000</v>
      </c>
      <c r="N63" s="611">
        <f t="shared" si="2"/>
        <v>425000</v>
      </c>
      <c r="O63" s="611">
        <f t="shared" si="2"/>
        <v>425000</v>
      </c>
      <c r="P63" s="611">
        <f t="shared" ref="P63" si="3">P57+50000</f>
        <v>425000</v>
      </c>
    </row>
    <row r="64" spans="2:30" ht="15.75">
      <c r="B64" s="613" t="s">
        <v>70</v>
      </c>
      <c r="C64" s="611">
        <v>325000</v>
      </c>
      <c r="D64" s="611">
        <v>325000</v>
      </c>
      <c r="E64" s="611">
        <v>350000</v>
      </c>
      <c r="F64" s="611">
        <v>350000</v>
      </c>
      <c r="G64" s="611">
        <v>400000</v>
      </c>
      <c r="H64" s="611">
        <v>400000</v>
      </c>
      <c r="I64" s="611">
        <v>400000</v>
      </c>
      <c r="J64" s="611">
        <f t="shared" si="1"/>
        <v>450000</v>
      </c>
      <c r="K64" s="611">
        <f t="shared" si="1"/>
        <v>450000</v>
      </c>
      <c r="L64" s="611">
        <f t="shared" si="1"/>
        <v>450000</v>
      </c>
      <c r="M64" s="611">
        <f t="shared" ref="M64:O64" si="4">M58+50000</f>
        <v>475000</v>
      </c>
      <c r="N64" s="611">
        <f t="shared" si="4"/>
        <v>475000</v>
      </c>
      <c r="O64" s="611">
        <f t="shared" si="4"/>
        <v>475000</v>
      </c>
      <c r="P64" s="611">
        <f t="shared" ref="P64" si="5">P58+50000</f>
        <v>475000</v>
      </c>
    </row>
    <row r="66" spans="1:10" ht="16.5">
      <c r="D66" s="615" t="s">
        <v>28</v>
      </c>
      <c r="E66" s="615" t="s">
        <v>27</v>
      </c>
    </row>
    <row r="67" spans="1:10" ht="16.5">
      <c r="A67" s="153" t="s">
        <v>37</v>
      </c>
      <c r="B67" s="616" t="str">
        <f>'Data Input'!D4</f>
        <v>2025-26</v>
      </c>
      <c r="C67" s="617" t="str">
        <f>'Data Input'!D8</f>
        <v>পুরুষ</v>
      </c>
      <c r="D67" s="618">
        <f>_xlfn.XLOOKUP('MisC Intrst-3'!L3,'MisC Intrst-3'!R10:R23,'MisC Intrst-3'!Z10:Z23,0)</f>
        <v>350000</v>
      </c>
      <c r="E67" s="619">
        <v>0</v>
      </c>
    </row>
    <row r="68" spans="1:10" ht="16.5">
      <c r="D68" s="155">
        <f>_xlfn.XLOOKUP('MisC Intrst-3'!L3,'MisC Intrst-3'!R10:R23,'MisC Intrst-3'!AA10:AA23,0)</f>
        <v>100000</v>
      </c>
      <c r="E68" s="619">
        <f>_xlfn.XLOOKUP('MisC Intrst-3'!L3,'MisC Intrst-3'!R10:R23,'MisC Intrst-3'!AB10:AB23,0)</f>
        <v>0.05</v>
      </c>
      <c r="G68" s="1264"/>
      <c r="H68" s="1264"/>
      <c r="I68" s="621"/>
      <c r="J68" s="621"/>
    </row>
    <row r="69" spans="1:10" ht="16.5">
      <c r="D69" s="155">
        <f>_xlfn.XLOOKUP('MisC Intrst-3'!L3,'MisC Intrst-3'!R10:R23,'MisC Intrst-3'!AC10:AC23,0)</f>
        <v>400000</v>
      </c>
      <c r="E69" s="619">
        <f>(E68+5%)</f>
        <v>0.1</v>
      </c>
      <c r="G69" s="154"/>
      <c r="H69" s="622"/>
      <c r="I69" s="154"/>
      <c r="J69" s="622"/>
    </row>
    <row r="70" spans="1:10" ht="16.5">
      <c r="D70" s="155">
        <f>_xlfn.XLOOKUP('MisC Intrst-3'!L3,'MisC Intrst-3'!R10:R23,'MisC Intrst-3'!AD10:AD23,0)</f>
        <v>500000</v>
      </c>
      <c r="E70" s="619">
        <f t="shared" ref="E70:E72" si="6">(E69+5%)</f>
        <v>0.15000000000000002</v>
      </c>
      <c r="G70" s="154"/>
      <c r="H70" s="622"/>
      <c r="I70" s="154"/>
      <c r="J70" s="622"/>
    </row>
    <row r="71" spans="1:10" ht="16.5">
      <c r="D71" s="155">
        <f>_xlfn.XLOOKUP('MisC Intrst-3'!L3,'MisC Intrst-3'!R10:R23,'MisC Intrst-3'!AE10:AE23,0)</f>
        <v>500000</v>
      </c>
      <c r="E71" s="619">
        <f t="shared" si="6"/>
        <v>0.2</v>
      </c>
      <c r="G71" s="154"/>
      <c r="H71" s="622"/>
      <c r="I71" s="154"/>
      <c r="J71" s="622"/>
    </row>
    <row r="72" spans="1:10" ht="16.5">
      <c r="D72" s="155">
        <f>_xlfn.XLOOKUP('MisC Intrst-3'!L3,'MisC Intrst-3'!R10:R23,'MisC Intrst-3'!AP10:AP23,0)</f>
        <v>2000000</v>
      </c>
      <c r="E72" s="619">
        <f t="shared" si="6"/>
        <v>0.25</v>
      </c>
      <c r="G72" s="154"/>
      <c r="H72" s="622"/>
      <c r="I72" s="154"/>
      <c r="J72" s="622"/>
    </row>
    <row r="73" spans="1:10" ht="16.5">
      <c r="D73" s="1049" t="str">
        <f>IF('Sheet of Calculation'!B2='MisC Intrst-3'!R19," Aewkó ",0)</f>
        <v xml:space="preserve"> Aewkó </v>
      </c>
      <c r="E73" s="1050">
        <f>IF('Sheet of Calculation'!B2='MisC Intrst-3'!R19,(E72+5%),"-")</f>
        <v>0.3</v>
      </c>
      <c r="G73" s="154"/>
      <c r="H73" s="622"/>
      <c r="I73" s="154"/>
      <c r="J73" s="622"/>
    </row>
    <row r="74" spans="1:10" ht="16.5">
      <c r="G74" s="154"/>
      <c r="H74" s="622"/>
      <c r="I74" s="154"/>
      <c r="J74" s="622"/>
    </row>
    <row r="79" spans="1:10">
      <c r="H79" s="1268" t="s">
        <v>588</v>
      </c>
      <c r="I79" s="1268"/>
    </row>
    <row r="80" spans="1:10">
      <c r="H80" s="1268"/>
      <c r="I80" s="1268"/>
    </row>
    <row r="81" spans="2:11" ht="15.75">
      <c r="C81" s="623"/>
      <c r="D81" s="623"/>
      <c r="E81" s="623"/>
      <c r="H81" s="1269" t="s">
        <v>589</v>
      </c>
      <c r="I81" s="1269"/>
    </row>
    <row r="82" spans="2:11" ht="20.25" customHeight="1">
      <c r="B82" s="624" t="s">
        <v>259</v>
      </c>
      <c r="D82" s="973" t="str">
        <f>'Data Input'!F11</f>
        <v>বেতন-ভাতা (Yes)</v>
      </c>
      <c r="E82" s="1257" t="str">
        <f>'Data Input'!D14</f>
        <v>†emiKvwi PvKwi n‡Z Avq (‡eZb I fvZvw`)</v>
      </c>
      <c r="F82" s="1258"/>
      <c r="G82" s="625" t="s">
        <v>590</v>
      </c>
      <c r="H82" s="626" t="s">
        <v>590</v>
      </c>
      <c r="I82" s="627" t="s">
        <v>521</v>
      </c>
      <c r="J82" s="627" t="s">
        <v>133</v>
      </c>
      <c r="K82" s="39" t="s">
        <v>599</v>
      </c>
    </row>
    <row r="83" spans="2:11" ht="16.5">
      <c r="B83" s="624" t="s">
        <v>120</v>
      </c>
      <c r="D83" s="628" t="s">
        <v>587</v>
      </c>
      <c r="E83" s="629" t="str">
        <f>'Sheet of Calculation'!B7</f>
        <v>মূল বেতন/মজুরি/পারিশ্রমিক ইত্যাদি</v>
      </c>
      <c r="F83" s="158"/>
      <c r="G83" s="32">
        <f>IF('Data Input'!E15&lt;0,0,'Data Input'!E15)</f>
        <v>1600000</v>
      </c>
      <c r="H83" s="630">
        <f>IF('Data Input'!F15&lt;0,0,'Data Input'!F15)</f>
        <v>0</v>
      </c>
      <c r="I83" s="26">
        <f t="shared" ref="I83:I89" si="7">IF($D$82=$D$83,G83,$D$85)</f>
        <v>1600000</v>
      </c>
      <c r="J83" s="630">
        <f>IF(H83&gt;G83,0,(IF($D$82=$D$83,H83,$D$85)))</f>
        <v>0</v>
      </c>
      <c r="K83" s="162">
        <f>IF((I83-J83)&lt;=0,0,(I83-J83))</f>
        <v>1600000</v>
      </c>
    </row>
    <row r="84" spans="2:11" ht="16.5">
      <c r="B84" s="624" t="s">
        <v>121</v>
      </c>
      <c r="D84" s="628" t="s">
        <v>586</v>
      </c>
      <c r="E84" s="629" t="str">
        <f>'Sheet of Calculation'!B8</f>
        <v>মোটরগাড়ি প্রতি সুবিধা</v>
      </c>
      <c r="F84" s="158"/>
      <c r="G84" s="32">
        <f>IF('Data Input'!E16&lt;0,0,'Data Input'!E16)</f>
        <v>0</v>
      </c>
      <c r="H84" s="630">
        <f>IF('Data Input'!F16&lt;0,0,'Data Input'!F16)</f>
        <v>0</v>
      </c>
      <c r="I84" s="26">
        <f t="shared" si="7"/>
        <v>0</v>
      </c>
      <c r="J84" s="630">
        <f>IF(H84&gt;G84,0,IF($D$82=$D$83,H84,$D$85))</f>
        <v>0</v>
      </c>
      <c r="K84" s="162">
        <f t="shared" ref="K84:K89" si="8">IF((I84-J84)&lt;=0,0,(I84-J84))</f>
        <v>0</v>
      </c>
    </row>
    <row r="85" spans="2:11" ht="19.5">
      <c r="B85" s="624" t="s">
        <v>582</v>
      </c>
      <c r="D85" s="631">
        <v>0</v>
      </c>
      <c r="E85" s="629" t="str">
        <f>'Sheet of Calculation'!B9</f>
        <v>বাড়ি ভাড়া ভাতা</v>
      </c>
      <c r="F85" s="158"/>
      <c r="G85" s="32">
        <f>IF('Data Input'!E17&lt;0,0,'Data Input'!E17)</f>
        <v>0</v>
      </c>
      <c r="H85" s="630">
        <f>IF('Data Input'!F17&lt;0,0,'Data Input'!F17)</f>
        <v>0</v>
      </c>
      <c r="I85" s="26">
        <f t="shared" si="7"/>
        <v>0</v>
      </c>
      <c r="J85" s="630">
        <f>IF(H85&gt;G85,0,IF($D$82=$D$83,H85,$D$85))</f>
        <v>0</v>
      </c>
      <c r="K85" s="162">
        <f t="shared" si="8"/>
        <v>0</v>
      </c>
    </row>
    <row r="86" spans="2:11" ht="16.5">
      <c r="B86" s="624" t="s">
        <v>504</v>
      </c>
      <c r="C86" s="6" t="s">
        <v>589</v>
      </c>
      <c r="D86" s="632" t="str">
        <f>_xlfn.XLOOKUP(H92,'MisC Intrst-3'!R10:R23,'MisC Intrst-3'!AL10:AL23,0,1)</f>
        <v>No</v>
      </c>
      <c r="E86" s="629" t="str">
        <f>'Sheet of Calculation'!B10</f>
        <v>চিকিৎসা ভাতা/পারকুইজিট ইত্যাদি</v>
      </c>
      <c r="F86" s="158"/>
      <c r="G86" s="32">
        <f>IF('Data Input'!E18&lt;0,0,'Data Input'!E18)</f>
        <v>0</v>
      </c>
      <c r="H86" s="630">
        <f>IF('Data Input'!F18&lt;0,0,'Data Input'!F18)</f>
        <v>0</v>
      </c>
      <c r="I86" s="26">
        <f t="shared" si="7"/>
        <v>0</v>
      </c>
      <c r="J86" s="630">
        <f>IF(H86&gt;G86,0,IF($D$82=$D$83,H86,$D$85))</f>
        <v>0</v>
      </c>
      <c r="K86" s="162">
        <f t="shared" si="8"/>
        <v>0</v>
      </c>
    </row>
    <row r="87" spans="2:11" ht="16.5">
      <c r="C87" s="633" t="s">
        <v>729</v>
      </c>
      <c r="D87" s="634">
        <f>'MisC Cal-2'!H82</f>
        <v>0</v>
      </c>
      <c r="E87" s="629" t="str">
        <f>'Sheet of Calculation'!B11</f>
        <v>উৎসব/উৎসাহ বোনাস/অন্যান্য ইত্যাদি</v>
      </c>
      <c r="F87" s="158"/>
      <c r="G87" s="32">
        <f>IF('Data Input'!E19&lt;0,0,'Data Input'!E19)</f>
        <v>0</v>
      </c>
      <c r="H87" s="630">
        <f>IF('Data Input'!F19&lt;0,0,'Data Input'!F19)</f>
        <v>0</v>
      </c>
      <c r="I87" s="26">
        <f t="shared" si="7"/>
        <v>0</v>
      </c>
      <c r="J87" s="630">
        <f>IF(H87&gt;G87,0,IF($D$82=$D$83,H87,$D$85))</f>
        <v>0</v>
      </c>
      <c r="K87" s="162">
        <f t="shared" si="8"/>
        <v>0</v>
      </c>
    </row>
    <row r="88" spans="2:11" ht="16.5">
      <c r="E88" s="629" t="str">
        <f>'Sheet of Calculation'!B12</f>
        <v>সম্পূর্ণ করযোগ্য ভাতা/ভাতা সমূহ</v>
      </c>
      <c r="F88" s="158"/>
      <c r="G88" s="32">
        <f>IF('Data Input'!E20&lt;0,0,'Data Input'!E20)</f>
        <v>0</v>
      </c>
      <c r="H88" s="630">
        <f>IF('Data Input'!F20&lt;0,0,'Data Input'!F20)</f>
        <v>0</v>
      </c>
      <c r="I88" s="26">
        <f t="shared" si="7"/>
        <v>0</v>
      </c>
      <c r="J88" s="630">
        <f>IF(H88&gt;G88,0,IF($D$82=$D$83,H88,$D$85))</f>
        <v>0</v>
      </c>
      <c r="K88" s="162">
        <f t="shared" si="8"/>
        <v>0</v>
      </c>
    </row>
    <row r="89" spans="2:11" ht="17.25" thickBot="1">
      <c r="B89" s="613" t="s">
        <v>516</v>
      </c>
      <c r="E89" s="635" t="str">
        <f>'Sheet of Calculation'!B13</f>
        <v>আনুতোষিক/অ্যানুইটি, পেনশন বা ইহাদের সম্পূরক (করমুক্ত)</v>
      </c>
      <c r="F89" s="166"/>
      <c r="G89" s="32">
        <f>IF('Data Input'!E21&lt;0,0,'Data Input'!E21)</f>
        <v>0</v>
      </c>
      <c r="H89" s="630">
        <f>IF('Data Input'!F21&lt;0,0,'Data Input'!F21)</f>
        <v>0</v>
      </c>
      <c r="I89" s="74">
        <f t="shared" si="7"/>
        <v>0</v>
      </c>
      <c r="J89" s="636">
        <f t="shared" ref="J89" si="9">IF($D$82=$D$83,H89,$D$85)</f>
        <v>0</v>
      </c>
      <c r="K89" s="162">
        <f t="shared" si="8"/>
        <v>0</v>
      </c>
    </row>
    <row r="90" spans="2:11" ht="17.25" thickBot="1">
      <c r="B90" s="613" t="s">
        <v>517</v>
      </c>
      <c r="E90" s="1259" t="s">
        <v>130</v>
      </c>
      <c r="F90" s="1260"/>
      <c r="G90" s="77">
        <f>SUM(G83:G89)</f>
        <v>1600000</v>
      </c>
      <c r="H90" s="167">
        <f>SUM(H83:H89)</f>
        <v>0</v>
      </c>
      <c r="I90" s="163">
        <f>SUM(I83:I89)</f>
        <v>1600000</v>
      </c>
      <c r="J90" s="77">
        <f>SUM(J83:J89)</f>
        <v>0</v>
      </c>
      <c r="K90" s="164">
        <f>SUM(K83:K89)</f>
        <v>1600000</v>
      </c>
    </row>
    <row r="91" spans="2:11" ht="16.5" thickBot="1">
      <c r="B91" s="613" t="s">
        <v>518</v>
      </c>
    </row>
    <row r="92" spans="2:11" ht="20.25" thickBot="1">
      <c r="B92" s="613" t="s">
        <v>520</v>
      </c>
      <c r="H92" s="637" t="str">
        <f>'Data Input'!D4</f>
        <v>2025-26</v>
      </c>
      <c r="I92" s="163" cm="1">
        <f t="array" ref="I92">_xlfn.XLOOKUP('MisC Cal-2'!G4,_xlfn.ANCHORARRAY('MisC Cal-2'!I60),'MisC Cal-2'!I71:V71,0,1)</f>
        <v>1600000</v>
      </c>
      <c r="J92" s="77" cm="1">
        <f t="array" ref="J92">_xlfn.XLOOKUP('MisC Cal-2'!G4,_xlfn.ANCHORARRAY('MisC Cal-2'!I60),'MisC Cal-2'!I72:V72,0,1)</f>
        <v>500000</v>
      </c>
      <c r="K92" s="170" cm="1">
        <f t="array" ref="K92">_xlfn.XLOOKUP('MisC Cal-2'!G4,_xlfn.ANCHORARRAY('MisC Cal-2'!I60),'MisC Cal-2'!I73:V73,0,1)</f>
        <v>1100000</v>
      </c>
    </row>
    <row r="93" spans="2:11" ht="13.5" thickBot="1"/>
    <row r="94" spans="2:11" ht="17.25" thickBot="1">
      <c r="H94" s="638" t="s">
        <v>615</v>
      </c>
      <c r="I94" s="171" cm="1">
        <f t="array" ref="I94">_xlfn.XLOOKUP('MisC Cal-2'!G4,_xlfn.ANCHORARRAY('MisC Cal-2'!I60),'MisC Cal-2'!I79:V79,0,1)</f>
        <v>1600000</v>
      </c>
      <c r="J94" s="163" cm="1">
        <f t="array" ref="J94">_xlfn.XLOOKUP('MisC Cal-2'!G4,_xlfn.ANCHORARRAY('MisC Cal-2'!I60),'MisC Cal-2'!I80:V80,0,1)</f>
        <v>500000</v>
      </c>
      <c r="K94" s="163" cm="1">
        <f t="array" ref="K94">_xlfn.XLOOKUP('MisC Cal-2'!G4,_xlfn.ANCHORARRAY('MisC Cal-2'!I60),'MisC Cal-2'!I81:V81,0,1)</f>
        <v>1100000</v>
      </c>
    </row>
    <row r="95" spans="2:11" ht="15.75">
      <c r="B95" s="613" t="s">
        <v>509</v>
      </c>
    </row>
    <row r="96" spans="2:11" ht="15.75">
      <c r="B96" s="613" t="s">
        <v>510</v>
      </c>
      <c r="C96" s="639" t="s">
        <v>514</v>
      </c>
    </row>
    <row r="98" spans="2:6" ht="15.75">
      <c r="B98" s="624" t="s">
        <v>583</v>
      </c>
    </row>
    <row r="99" spans="2:6" ht="15.75">
      <c r="B99" s="624" t="s">
        <v>505</v>
      </c>
    </row>
    <row r="100" spans="2:6" ht="16.5">
      <c r="B100" s="624" t="s">
        <v>506</v>
      </c>
      <c r="E100" s="1256"/>
      <c r="F100" s="1256"/>
    </row>
    <row r="101" spans="2:6" ht="15.75">
      <c r="B101" s="624" t="s">
        <v>507</v>
      </c>
    </row>
    <row r="102" spans="2:6" ht="15.75">
      <c r="B102" s="624" t="s">
        <v>234</v>
      </c>
    </row>
    <row r="103" spans="2:6" ht="15.75">
      <c r="B103" s="624" t="s">
        <v>508</v>
      </c>
    </row>
    <row r="104" spans="2:6" ht="15.75">
      <c r="B104" s="624" t="s">
        <v>261</v>
      </c>
    </row>
    <row r="105" spans="2:6" ht="15.75">
      <c r="B105" s="624" t="s">
        <v>260</v>
      </c>
    </row>
    <row r="106" spans="2:6" ht="15.75">
      <c r="B106" s="624" t="s">
        <v>515</v>
      </c>
      <c r="C106" s="639" t="s">
        <v>151</v>
      </c>
    </row>
    <row r="107" spans="2:6" ht="15.75">
      <c r="B107" s="994" t="s">
        <v>122</v>
      </c>
    </row>
    <row r="108" spans="2:6" ht="15.75">
      <c r="B108" s="624" t="s">
        <v>511</v>
      </c>
    </row>
    <row r="109" spans="2:6" ht="15.75">
      <c r="B109" s="624" t="s">
        <v>513</v>
      </c>
    </row>
    <row r="110" spans="2:6" ht="15.75">
      <c r="B110" s="624" t="s">
        <v>512</v>
      </c>
    </row>
    <row r="111" spans="2:6">
      <c r="B111" s="995" t="s">
        <v>519</v>
      </c>
    </row>
    <row r="112" spans="2:6">
      <c r="B112" s="995" t="s">
        <v>781</v>
      </c>
    </row>
    <row r="115" spans="2:3" ht="13.5">
      <c r="B115" s="990" t="s">
        <v>235</v>
      </c>
    </row>
    <row r="116" spans="2:3" ht="15.75">
      <c r="B116" s="624" t="s">
        <v>728</v>
      </c>
    </row>
    <row r="117" spans="2:3" ht="13.5">
      <c r="B117" s="990" t="s">
        <v>782</v>
      </c>
    </row>
    <row r="118" spans="2:3" ht="15.75">
      <c r="B118" s="624" t="s">
        <v>262</v>
      </c>
    </row>
    <row r="121" spans="2:3" ht="15.75">
      <c r="B121" s="624" t="s">
        <v>815</v>
      </c>
      <c r="C121" s="639" t="s">
        <v>817</v>
      </c>
    </row>
    <row r="122" spans="2:3" ht="15.75">
      <c r="B122" s="624" t="s">
        <v>123</v>
      </c>
      <c r="C122" s="639" t="s">
        <v>139</v>
      </c>
    </row>
    <row r="123" spans="2:3" ht="15.75">
      <c r="B123" s="624" t="s">
        <v>783</v>
      </c>
      <c r="C123" s="639" t="s">
        <v>149</v>
      </c>
    </row>
    <row r="124" spans="2:3" ht="15.75">
      <c r="B124" s="624" t="s">
        <v>124</v>
      </c>
      <c r="C124" s="639" t="s">
        <v>136</v>
      </c>
    </row>
    <row r="125" spans="2:3" ht="15.75">
      <c r="B125" s="624" t="s">
        <v>786</v>
      </c>
      <c r="C125" s="991" t="s">
        <v>787</v>
      </c>
    </row>
    <row r="126" spans="2:3" ht="15.75">
      <c r="B126" s="624" t="s">
        <v>125</v>
      </c>
      <c r="C126" s="639" t="s">
        <v>150</v>
      </c>
    </row>
    <row r="127" spans="2:3" ht="15.75">
      <c r="B127" s="624" t="s">
        <v>263</v>
      </c>
      <c r="C127" s="640" t="s">
        <v>585</v>
      </c>
    </row>
    <row r="128" spans="2:3" ht="15.75">
      <c r="B128" s="624" t="s">
        <v>538</v>
      </c>
      <c r="C128" s="640" t="s">
        <v>585</v>
      </c>
    </row>
    <row r="129" spans="2:8" ht="15.75">
      <c r="B129" s="624" t="s">
        <v>264</v>
      </c>
      <c r="C129" s="639" t="s">
        <v>138</v>
      </c>
      <c r="G129" s="24"/>
    </row>
    <row r="130" spans="2:8" ht="15.75">
      <c r="B130" s="641" t="s">
        <v>799</v>
      </c>
      <c r="C130" s="639" t="s">
        <v>135</v>
      </c>
    </row>
    <row r="131" spans="2:8" ht="15.75">
      <c r="B131" s="624" t="s">
        <v>800</v>
      </c>
      <c r="C131" s="639" t="s">
        <v>585</v>
      </c>
    </row>
    <row r="133" spans="2:8" ht="15.75">
      <c r="B133" s="613" t="s">
        <v>593</v>
      </c>
      <c r="C133" s="639" t="s">
        <v>584</v>
      </c>
    </row>
    <row r="134" spans="2:8" ht="15.75">
      <c r="B134" s="613" t="s">
        <v>785</v>
      </c>
      <c r="C134" s="974" t="s">
        <v>784</v>
      </c>
    </row>
    <row r="136" spans="2:8" ht="15.75">
      <c r="B136" s="624" t="s">
        <v>788</v>
      </c>
    </row>
    <row r="137" spans="2:8" ht="15.75">
      <c r="B137" s="624" t="s">
        <v>801</v>
      </c>
    </row>
    <row r="138" spans="2:8" ht="15.75">
      <c r="B138" s="624" t="s">
        <v>798</v>
      </c>
    </row>
    <row r="141" spans="2:8" ht="16.5">
      <c r="C141" s="643"/>
      <c r="D141" s="644"/>
      <c r="E141" s="644"/>
      <c r="F141" s="645"/>
      <c r="G141" s="646" t="s">
        <v>102</v>
      </c>
      <c r="H141" s="647"/>
    </row>
    <row r="142" spans="2:8" ht="16.5">
      <c r="C142" s="648"/>
      <c r="D142" s="649" t="str">
        <f>"("&amp;'Data Input'!I4&amp;")"</f>
        <v>()</v>
      </c>
      <c r="E142" s="24"/>
      <c r="F142" s="650"/>
      <c r="G142" s="651"/>
      <c r="H142" s="652"/>
    </row>
    <row r="143" spans="2:8" ht="16.5">
      <c r="C143" s="648"/>
      <c r="D143" s="653" t="str">
        <f>'Data Input'!I5</f>
        <v>উপ কর কমিশনার</v>
      </c>
      <c r="E143" s="24"/>
      <c r="F143" s="650"/>
      <c r="G143" s="153" t="s">
        <v>100</v>
      </c>
      <c r="H143" s="652"/>
    </row>
    <row r="144" spans="2:8" ht="16.5">
      <c r="C144" s="648"/>
      <c r="D144" s="654" t="str">
        <f>"Ki mv‡K©j-"&amp;'Data Input'!K4&amp;","</f>
        <v>Ki mv‡K©j-16,</v>
      </c>
      <c r="E144" s="24"/>
      <c r="F144" s="650"/>
      <c r="G144" s="654" t="s">
        <v>470</v>
      </c>
      <c r="H144" s="652"/>
    </row>
    <row r="145" spans="2:8" ht="16.5">
      <c r="C145" s="648"/>
      <c r="D145" s="72" t="str">
        <f>"কর অঞ্চল-"&amp;'Data Input'!K5&amp;"।"</f>
        <v>কর অঞ্চল-খুলনা।</v>
      </c>
      <c r="E145" s="24"/>
      <c r="F145" s="650"/>
      <c r="G145" s="72" t="str">
        <f>"কর সার্কেল-"&amp;'Data Input'!K4&amp;", কর অঞ্চল-"&amp;'Data Input'!K5</f>
        <v>কর সার্কেল-16, কর অঞ্চল-খুলনা</v>
      </c>
      <c r="H145" s="652"/>
    </row>
    <row r="146" spans="2:8" ht="16.5">
      <c r="C146" s="648"/>
      <c r="D146" s="654" t="str">
        <f>"†dvbt "&amp;'Data Input'!K6</f>
        <v>†dvbt 02-2222244444</v>
      </c>
      <c r="E146" s="24"/>
      <c r="F146" s="650"/>
      <c r="G146" s="654" t="str">
        <f>'Data Input'!I7</f>
        <v>50/1, wfAvBwc †ivW, bqvcëb, XvKv|</v>
      </c>
      <c r="H146" s="652"/>
    </row>
    <row r="147" spans="2:8" ht="15">
      <c r="C147" s="655"/>
      <c r="D147" s="656"/>
      <c r="E147" s="656"/>
      <c r="F147" s="657"/>
      <c r="G147" s="658"/>
      <c r="H147" s="659"/>
    </row>
    <row r="150" spans="2:8" ht="15.75">
      <c r="B150" s="613" t="s">
        <v>258</v>
      </c>
    </row>
    <row r="151" spans="2:8" ht="15.75">
      <c r="B151" s="613" t="s">
        <v>236</v>
      </c>
    </row>
    <row r="152" spans="2:8" ht="15.75">
      <c r="B152" s="613" t="s">
        <v>237</v>
      </c>
    </row>
    <row r="160" spans="2:8" ht="20.25" customHeight="1">
      <c r="C160" s="1255" t="s">
        <v>752</v>
      </c>
      <c r="D160" s="1255"/>
      <c r="E160" s="1255"/>
      <c r="F160" s="1255"/>
      <c r="G160" s="1255"/>
      <c r="H160" s="1255"/>
    </row>
    <row r="161" spans="3:8" ht="17.25" customHeight="1">
      <c r="C161" s="660" t="s">
        <v>743</v>
      </c>
      <c r="D161" s="661"/>
      <c r="E161" s="642" t="b">
        <v>1</v>
      </c>
      <c r="F161" s="662" t="s">
        <v>747</v>
      </c>
      <c r="G161" s="663"/>
      <c r="H161" s="642" t="b">
        <v>0</v>
      </c>
    </row>
    <row r="162" spans="3:8" ht="17.25" customHeight="1">
      <c r="C162" s="664" t="s">
        <v>741</v>
      </c>
      <c r="D162" s="665"/>
      <c r="E162" s="642" t="b">
        <v>1</v>
      </c>
      <c r="F162" s="662" t="s">
        <v>748</v>
      </c>
      <c r="G162" s="663"/>
      <c r="H162" s="642" t="b">
        <v>0</v>
      </c>
    </row>
    <row r="163" spans="3:8" ht="17.25" customHeight="1">
      <c r="C163" s="660" t="s">
        <v>744</v>
      </c>
      <c r="D163" s="661"/>
      <c r="E163" s="642" t="b">
        <v>1</v>
      </c>
      <c r="F163" s="662" t="s">
        <v>749</v>
      </c>
      <c r="G163" s="663"/>
      <c r="H163" s="642" t="b">
        <v>0</v>
      </c>
    </row>
    <row r="164" spans="3:8" ht="17.25" customHeight="1">
      <c r="C164" s="660" t="s">
        <v>745</v>
      </c>
      <c r="D164" s="661"/>
      <c r="E164" s="642" t="b">
        <v>1</v>
      </c>
      <c r="F164" s="662" t="s">
        <v>750</v>
      </c>
      <c r="G164" s="663"/>
      <c r="H164" s="642" t="b">
        <v>1</v>
      </c>
    </row>
    <row r="165" spans="3:8" ht="17.25" customHeight="1">
      <c r="C165" s="660" t="s">
        <v>746</v>
      </c>
      <c r="D165" s="661"/>
      <c r="E165" s="642" t="b">
        <v>1</v>
      </c>
      <c r="F165" s="662" t="s">
        <v>751</v>
      </c>
      <c r="G165" s="663"/>
      <c r="H165" s="642" t="b">
        <v>0</v>
      </c>
    </row>
  </sheetData>
  <mergeCells count="17">
    <mergeCell ref="C160:H160"/>
    <mergeCell ref="E100:F100"/>
    <mergeCell ref="E82:F82"/>
    <mergeCell ref="E90:F90"/>
    <mergeCell ref="K3:L3"/>
    <mergeCell ref="K12:L12"/>
    <mergeCell ref="G68:H68"/>
    <mergeCell ref="B25:E25"/>
    <mergeCell ref="H79:I80"/>
    <mergeCell ref="H81:I81"/>
    <mergeCell ref="AK2:AM2"/>
    <mergeCell ref="B2:F2"/>
    <mergeCell ref="B23:C23"/>
    <mergeCell ref="B8:F8"/>
    <mergeCell ref="AA3:AD3"/>
    <mergeCell ref="N14:O14"/>
    <mergeCell ref="H4:H5"/>
  </mergeCells>
  <phoneticPr fontId="2" type="noConversion"/>
  <dataValidations disablePrompts="1" count="1">
    <dataValidation type="whole" allowBlank="1" showInputMessage="1" showErrorMessage="1" sqref="N4" xr:uid="{4C38AD3F-054C-40B2-9055-30D0ED29BCEF}">
      <formula1>#REF!</formula1>
      <formula2>#REF!</formula2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448E-2F37-4257-BFF5-3F375D0CDE42}">
  <sheetPr codeName="Sheet10">
    <tabColor rgb="FFFF0505"/>
  </sheetPr>
  <dimension ref="C1:AF112"/>
  <sheetViews>
    <sheetView showGridLines="0" zoomScale="90" zoomScaleNormal="90" workbookViewId="0">
      <selection activeCell="S72" sqref="S72"/>
    </sheetView>
  </sheetViews>
  <sheetFormatPr defaultRowHeight="12.75"/>
  <cols>
    <col min="3" max="3" width="31.7109375" customWidth="1"/>
    <col min="4" max="4" width="19.140625" customWidth="1"/>
    <col min="5" max="5" width="18.28515625" customWidth="1"/>
    <col min="6" max="6" width="21.5703125" customWidth="1"/>
    <col min="7" max="7" width="14.28515625" customWidth="1"/>
    <col min="8" max="8" width="13.85546875" customWidth="1"/>
    <col min="9" max="11" width="17" bestFit="1" customWidth="1"/>
    <col min="12" max="14" width="14.140625" bestFit="1" customWidth="1"/>
    <col min="15" max="15" width="14.28515625" bestFit="1" customWidth="1"/>
    <col min="16" max="16" width="17" bestFit="1" customWidth="1"/>
    <col min="17" max="17" width="14.140625" bestFit="1" customWidth="1"/>
    <col min="18" max="18" width="14" bestFit="1" customWidth="1"/>
    <col min="19" max="19" width="14.42578125" bestFit="1" customWidth="1"/>
    <col min="20" max="20" width="14.140625" bestFit="1" customWidth="1"/>
    <col min="21" max="21" width="14.28515625" bestFit="1" customWidth="1"/>
    <col min="22" max="22" width="16.5703125" customWidth="1"/>
    <col min="28" max="28" width="17.7109375" bestFit="1" customWidth="1"/>
    <col min="29" max="29" width="12" bestFit="1" customWidth="1"/>
    <col min="32" max="32" width="13.28515625" bestFit="1" customWidth="1"/>
  </cols>
  <sheetData>
    <row r="1" spans="3:32" ht="19.5">
      <c r="E1" s="666"/>
    </row>
    <row r="4" spans="3:32" ht="18" customHeight="1">
      <c r="C4" s="1271" t="s">
        <v>44</v>
      </c>
      <c r="D4" s="1272"/>
      <c r="E4" s="667" t="s">
        <v>91</v>
      </c>
      <c r="F4" s="668" t="s">
        <v>549</v>
      </c>
      <c r="G4" s="669" t="str">
        <f>'Data Input'!D4</f>
        <v>2025-26</v>
      </c>
      <c r="I4" s="670" t="str" cm="1">
        <f t="array" ref="I4:V4">TRANSPOSE('MisC Intrst-3'!R10:R23)</f>
        <v>2016-17</v>
      </c>
      <c r="J4" s="670" t="str">
        <v>2017-18</v>
      </c>
      <c r="K4" s="670" t="str">
        <v>2018-19</v>
      </c>
      <c r="L4" s="670" t="str">
        <v>2019-20</v>
      </c>
      <c r="M4" s="670" t="str">
        <v>2020-21</v>
      </c>
      <c r="N4" s="670" t="str">
        <v>2021-22</v>
      </c>
      <c r="O4" s="670" t="str">
        <v>2022-23</v>
      </c>
      <c r="P4" s="670" t="str">
        <v>2023-24</v>
      </c>
      <c r="Q4" s="670" t="str">
        <v>2024-25</v>
      </c>
      <c r="R4" s="670" t="str">
        <v>2025-26</v>
      </c>
      <c r="S4" s="670" t="str">
        <v>2026-27</v>
      </c>
      <c r="T4" s="670" t="str">
        <v>2027-28</v>
      </c>
      <c r="U4" s="670" t="str">
        <v>2028-29</v>
      </c>
      <c r="V4" s="670" t="str">
        <v>2029-30</v>
      </c>
    </row>
    <row r="5" spans="3:32" ht="16.5">
      <c r="C5" s="671" t="str">
        <f>IF(E13=1,D13,D14)</f>
        <v>8000 et dzt evwo/GKvwaK Mvwo</v>
      </c>
      <c r="D5" s="672" t="str">
        <f>'Data Input'!D11</f>
        <v>প্রযোজ্য নহে</v>
      </c>
      <c r="E5" s="673" cm="1">
        <f t="array" ref="E5:E10">_xlfn.XLOOKUP(G4,I4:V4,I12:V17,0,1)</f>
        <v>0</v>
      </c>
      <c r="F5" s="674" cm="1">
        <f t="array" ref="F5:F10">_xlfn.XLOOKUP(G4,I4:V4,I19:V24,0,1)</f>
        <v>0</v>
      </c>
      <c r="G5" s="675" t="str" cm="1">
        <f t="array" ref="G5:G10">_xlfn.XLOOKUP(G4,I4:V4,I5:V10,0,1)</f>
        <v>&lt;= ৪ কোটি</v>
      </c>
      <c r="I5" s="676" t="s">
        <v>539</v>
      </c>
      <c r="J5" s="676" t="s">
        <v>539</v>
      </c>
      <c r="K5" s="677" t="s">
        <v>539</v>
      </c>
      <c r="L5" s="677" t="s">
        <v>254</v>
      </c>
      <c r="M5" s="677" t="s">
        <v>254</v>
      </c>
      <c r="N5" s="676" t="s">
        <v>254</v>
      </c>
      <c r="O5" s="676" t="s">
        <v>254</v>
      </c>
      <c r="P5" s="676" t="s">
        <v>546</v>
      </c>
      <c r="Q5" s="678" t="s">
        <v>546</v>
      </c>
      <c r="R5" s="678" t="s">
        <v>546</v>
      </c>
      <c r="S5" s="678" t="s">
        <v>546</v>
      </c>
      <c r="T5" s="678" t="s">
        <v>546</v>
      </c>
      <c r="U5" s="678" t="s">
        <v>546</v>
      </c>
      <c r="V5" s="678" t="s">
        <v>546</v>
      </c>
      <c r="AF5" s="462"/>
    </row>
    <row r="6" spans="3:32" ht="16.5">
      <c r="C6" s="679" t="s">
        <v>45</v>
      </c>
      <c r="D6" s="680" t="str">
        <f>'Data Input'!D10</f>
        <v>&lt;= ৪ কোটি</v>
      </c>
      <c r="E6" s="681">
        <v>0.1</v>
      </c>
      <c r="F6" s="674">
        <v>146343.184059197</v>
      </c>
      <c r="G6" s="682" t="str">
        <v>৪ ~ ১০ কোটি</v>
      </c>
      <c r="I6" s="683" t="s">
        <v>540</v>
      </c>
      <c r="J6" s="683" t="s">
        <v>540</v>
      </c>
      <c r="K6" s="684" t="s">
        <v>540</v>
      </c>
      <c r="L6" s="684" t="s">
        <v>545</v>
      </c>
      <c r="M6" s="684" t="s">
        <v>545</v>
      </c>
      <c r="N6" s="683" t="s">
        <v>253</v>
      </c>
      <c r="O6" s="683" t="s">
        <v>253</v>
      </c>
      <c r="P6" s="683" t="s">
        <v>547</v>
      </c>
      <c r="Q6" s="685" t="s">
        <v>547</v>
      </c>
      <c r="R6" s="685" t="s">
        <v>547</v>
      </c>
      <c r="S6" s="685" t="s">
        <v>547</v>
      </c>
      <c r="T6" s="685" t="s">
        <v>547</v>
      </c>
      <c r="U6" s="685" t="s">
        <v>547</v>
      </c>
      <c r="V6" s="685" t="s">
        <v>547</v>
      </c>
      <c r="AD6" s="686"/>
      <c r="AF6" s="687"/>
    </row>
    <row r="7" spans="3:32" ht="16.5">
      <c r="C7" s="679" t="s">
        <v>39</v>
      </c>
      <c r="D7" s="688">
        <f>'Sheet of Calculation'!F42</f>
        <v>1463431.8405919699</v>
      </c>
      <c r="E7" s="681">
        <v>0.2</v>
      </c>
      <c r="F7" s="674">
        <v>292686.36811839399</v>
      </c>
      <c r="G7" s="682" t="str">
        <v>১০ ~ ২০ কোটি</v>
      </c>
      <c r="I7" s="676" t="s">
        <v>541</v>
      </c>
      <c r="J7" s="676" t="s">
        <v>541</v>
      </c>
      <c r="K7" s="677" t="s">
        <v>541</v>
      </c>
      <c r="L7" s="677" t="s">
        <v>541</v>
      </c>
      <c r="M7" s="677" t="s">
        <v>541</v>
      </c>
      <c r="N7" s="676" t="s">
        <v>255</v>
      </c>
      <c r="O7" s="676" t="s">
        <v>255</v>
      </c>
      <c r="P7" s="676" t="s">
        <v>255</v>
      </c>
      <c r="Q7" s="678" t="s">
        <v>255</v>
      </c>
      <c r="R7" s="678" t="s">
        <v>255</v>
      </c>
      <c r="S7" s="678" t="s">
        <v>255</v>
      </c>
      <c r="T7" s="678" t="s">
        <v>255</v>
      </c>
      <c r="U7" s="678" t="s">
        <v>255</v>
      </c>
      <c r="V7" s="678" t="s">
        <v>255</v>
      </c>
      <c r="AB7" s="608"/>
      <c r="AC7" s="689"/>
      <c r="AD7" s="686"/>
      <c r="AF7" s="687"/>
    </row>
    <row r="8" spans="3:32" ht="16.5">
      <c r="C8" s="551" t="s">
        <v>304</v>
      </c>
      <c r="D8" s="688">
        <f>IF(D5=F13,(D7*E6*E13),IF(D5=F14,(D7*E5*E14),0))</f>
        <v>0</v>
      </c>
      <c r="E8" s="681">
        <v>0.3</v>
      </c>
      <c r="F8" s="674">
        <v>439029.55217759096</v>
      </c>
      <c r="G8" s="682" t="str">
        <v>২০ ~ ৫০ কোটি</v>
      </c>
      <c r="I8" s="676" t="s">
        <v>542</v>
      </c>
      <c r="J8" s="676" t="s">
        <v>542</v>
      </c>
      <c r="K8" s="690" t="s">
        <v>542</v>
      </c>
      <c r="L8" s="690" t="s">
        <v>542</v>
      </c>
      <c r="M8" s="690" t="s">
        <v>542</v>
      </c>
      <c r="N8" s="676" t="s">
        <v>256</v>
      </c>
      <c r="O8" s="676" t="s">
        <v>256</v>
      </c>
      <c r="P8" s="676" t="s">
        <v>256</v>
      </c>
      <c r="Q8" s="678" t="s">
        <v>256</v>
      </c>
      <c r="R8" s="678" t="s">
        <v>256</v>
      </c>
      <c r="S8" s="678" t="s">
        <v>256</v>
      </c>
      <c r="T8" s="678" t="s">
        <v>256</v>
      </c>
      <c r="U8" s="678" t="s">
        <v>256</v>
      </c>
      <c r="V8" s="678" t="s">
        <v>256</v>
      </c>
      <c r="AB8" s="608"/>
      <c r="AC8" s="689"/>
      <c r="AD8" s="686"/>
      <c r="AF8" s="687"/>
    </row>
    <row r="9" spans="3:32" ht="16.5">
      <c r="C9" s="551" t="s">
        <v>305</v>
      </c>
      <c r="D9" s="688">
        <f>_xlfn.XLOOKUP(D6,G5:G10,F5:F10,0)</f>
        <v>0</v>
      </c>
      <c r="E9" s="681">
        <v>0.35</v>
      </c>
      <c r="F9" s="674">
        <v>512201.14420718944</v>
      </c>
      <c r="G9" s="682" t="str">
        <v>&gt; ৫০ কোটি</v>
      </c>
      <c r="I9" s="676" t="s">
        <v>543</v>
      </c>
      <c r="J9" s="676" t="s">
        <v>543</v>
      </c>
      <c r="K9" s="690" t="s">
        <v>543</v>
      </c>
      <c r="L9" s="690" t="s">
        <v>543</v>
      </c>
      <c r="M9" s="690" t="s">
        <v>543</v>
      </c>
      <c r="N9" s="676" t="s">
        <v>257</v>
      </c>
      <c r="O9" s="676" t="s">
        <v>257</v>
      </c>
      <c r="P9" s="676" t="s">
        <v>257</v>
      </c>
      <c r="Q9" s="678" t="s">
        <v>257</v>
      </c>
      <c r="R9" s="678" t="s">
        <v>257</v>
      </c>
      <c r="S9" s="678" t="s">
        <v>257</v>
      </c>
      <c r="T9" s="678" t="s">
        <v>257</v>
      </c>
      <c r="U9" s="678" t="s">
        <v>257</v>
      </c>
      <c r="V9" s="678" t="s">
        <v>257</v>
      </c>
      <c r="AB9" s="691"/>
      <c r="AC9" s="689"/>
      <c r="AD9" s="686"/>
      <c r="AF9" s="687"/>
    </row>
    <row r="10" spans="3:32" ht="17.25">
      <c r="C10" s="692" t="s">
        <v>44</v>
      </c>
      <c r="D10" s="693">
        <f>MAX(D8:D9)</f>
        <v>0</v>
      </c>
      <c r="E10" s="694">
        <v>0</v>
      </c>
      <c r="F10" s="695">
        <v>0</v>
      </c>
      <c r="G10" s="696">
        <v>0</v>
      </c>
      <c r="I10" s="676" t="s">
        <v>544</v>
      </c>
      <c r="J10" s="676" t="s">
        <v>544</v>
      </c>
      <c r="K10" s="690" t="s">
        <v>544</v>
      </c>
      <c r="L10" s="690" t="s">
        <v>544</v>
      </c>
      <c r="M10" s="690" t="s">
        <v>544</v>
      </c>
      <c r="N10" s="676">
        <v>0</v>
      </c>
      <c r="O10" s="676">
        <v>0</v>
      </c>
      <c r="P10" s="676">
        <v>0</v>
      </c>
      <c r="Q10" s="678">
        <v>0</v>
      </c>
      <c r="R10" s="678">
        <v>0</v>
      </c>
      <c r="S10" s="678">
        <v>0</v>
      </c>
      <c r="T10" s="678">
        <v>0</v>
      </c>
      <c r="U10" s="678">
        <v>0</v>
      </c>
      <c r="V10" s="678">
        <v>0</v>
      </c>
      <c r="AD10" s="686"/>
      <c r="AF10" s="687"/>
    </row>
    <row r="11" spans="3:32" ht="17.25">
      <c r="C11" s="697" t="str">
        <f>C13</f>
        <v>cwi‡ek mviPvR©</v>
      </c>
      <c r="D11" s="698">
        <f>_xlfn.XLOOKUP(G4,I4:V4,I33:V33,0,1)</f>
        <v>0</v>
      </c>
      <c r="E11" s="699"/>
      <c r="F11" s="700" t="str">
        <f>"(cwi‡ek) = "&amp;D11&amp;"/- UvKv"</f>
        <v>(cwi‡ek) = 0/- UvKv</v>
      </c>
      <c r="G11" s="701" t="s">
        <v>558</v>
      </c>
      <c r="AD11" s="686"/>
      <c r="AF11" s="687"/>
    </row>
    <row r="12" spans="3:32">
      <c r="I12" s="673">
        <v>0</v>
      </c>
      <c r="J12" s="673">
        <v>0</v>
      </c>
      <c r="K12" s="673">
        <v>0</v>
      </c>
      <c r="L12" s="673">
        <v>0</v>
      </c>
      <c r="M12" s="702">
        <v>0</v>
      </c>
      <c r="N12" s="673">
        <v>0</v>
      </c>
      <c r="O12" s="703">
        <v>0</v>
      </c>
      <c r="P12" s="673">
        <v>0</v>
      </c>
      <c r="Q12" s="704">
        <v>0</v>
      </c>
      <c r="R12" s="704">
        <v>0</v>
      </c>
      <c r="S12" s="704">
        <v>0</v>
      </c>
      <c r="T12" s="704">
        <v>0</v>
      </c>
      <c r="U12" s="704">
        <v>0</v>
      </c>
      <c r="V12" s="704">
        <v>0</v>
      </c>
    </row>
    <row r="13" spans="3:32" ht="16.5">
      <c r="C13" s="615" t="str">
        <f>_xlfn.XLOOKUP(G4,I4:V4,I32:V32,0,1)</f>
        <v>cwi‡ek mviPvR©</v>
      </c>
      <c r="D13" s="705" t="s">
        <v>502</v>
      </c>
      <c r="E13" s="706" cm="1">
        <f t="array" ref="E13:E14">_xlfn.XLOOKUP(G4,I4:V4,I29:V30,0,1)</f>
        <v>1</v>
      </c>
      <c r="F13" s="707" t="str" cm="1">
        <f t="array" ref="F13:F14">_xlfn.XLOOKUP(G4,I4:V4,I27:V28,0,1)</f>
        <v>প্রযোজ্য</v>
      </c>
      <c r="G13" s="708"/>
      <c r="I13" s="709">
        <v>0.1</v>
      </c>
      <c r="J13" s="709">
        <v>0.1</v>
      </c>
      <c r="K13" s="709">
        <v>0.1</v>
      </c>
      <c r="L13" s="709">
        <v>0.1</v>
      </c>
      <c r="M13" s="710">
        <v>0.1</v>
      </c>
      <c r="N13" s="709">
        <v>0.1</v>
      </c>
      <c r="O13" s="711">
        <v>0.1</v>
      </c>
      <c r="P13" s="709">
        <v>0.1</v>
      </c>
      <c r="Q13" s="712">
        <v>0.1</v>
      </c>
      <c r="R13" s="712">
        <v>0.1</v>
      </c>
      <c r="S13" s="712">
        <v>0.1</v>
      </c>
      <c r="T13" s="712">
        <v>0.1</v>
      </c>
      <c r="U13" s="712">
        <v>0.1</v>
      </c>
      <c r="V13" s="712">
        <v>0.1</v>
      </c>
    </row>
    <row r="14" spans="3:32" ht="15.75">
      <c r="C14" s="713">
        <f>'Data Input'!F10</f>
        <v>0</v>
      </c>
      <c r="D14" s="714" t="s">
        <v>94</v>
      </c>
      <c r="E14" s="706">
        <v>0</v>
      </c>
      <c r="F14" s="715" t="str">
        <v>প্রযোজ্য নহে</v>
      </c>
      <c r="G14" s="716"/>
      <c r="I14" s="681">
        <v>0.15</v>
      </c>
      <c r="J14" s="681">
        <v>0.15</v>
      </c>
      <c r="K14" s="681">
        <v>0.15</v>
      </c>
      <c r="L14" s="681">
        <v>0.15</v>
      </c>
      <c r="M14" s="717">
        <v>0.15</v>
      </c>
      <c r="N14" s="681">
        <v>0.2</v>
      </c>
      <c r="O14" s="718">
        <v>0.2</v>
      </c>
      <c r="P14" s="681">
        <v>0.2</v>
      </c>
      <c r="Q14" s="719">
        <v>0.2</v>
      </c>
      <c r="R14" s="719">
        <v>0.2</v>
      </c>
      <c r="S14" s="719">
        <v>0.2</v>
      </c>
      <c r="T14" s="719">
        <v>0.2</v>
      </c>
      <c r="U14" s="719">
        <v>0.2</v>
      </c>
      <c r="V14" s="719">
        <v>0.2</v>
      </c>
    </row>
    <row r="15" spans="3:32" ht="15.75">
      <c r="C15" s="720" t="str">
        <f>IF(D11&gt;0,F11,G11)</f>
        <v>.</v>
      </c>
      <c r="I15" s="681">
        <v>0.2</v>
      </c>
      <c r="J15" s="681">
        <v>0.2</v>
      </c>
      <c r="K15" s="681">
        <v>0.2</v>
      </c>
      <c r="L15" s="681">
        <v>0.2</v>
      </c>
      <c r="M15" s="717">
        <v>0.2</v>
      </c>
      <c r="N15" s="681">
        <v>0.3</v>
      </c>
      <c r="O15" s="718">
        <v>0.3</v>
      </c>
      <c r="P15" s="681">
        <v>0.3</v>
      </c>
      <c r="Q15" s="719">
        <v>0.3</v>
      </c>
      <c r="R15" s="719">
        <v>0.3</v>
      </c>
      <c r="S15" s="719">
        <v>0.3</v>
      </c>
      <c r="T15" s="719">
        <v>0.3</v>
      </c>
      <c r="U15" s="719">
        <v>0.3</v>
      </c>
      <c r="V15" s="719">
        <v>0.3</v>
      </c>
    </row>
    <row r="16" spans="3:32" ht="15.75">
      <c r="D16" s="620"/>
      <c r="I16" s="681">
        <v>0.25</v>
      </c>
      <c r="J16" s="681">
        <v>0.25</v>
      </c>
      <c r="K16" s="681">
        <v>0.25</v>
      </c>
      <c r="L16" s="681">
        <v>0.25</v>
      </c>
      <c r="M16" s="717">
        <v>0.25</v>
      </c>
      <c r="N16" s="681">
        <v>0.35</v>
      </c>
      <c r="O16" s="718">
        <v>0.35</v>
      </c>
      <c r="P16" s="681">
        <v>0.35</v>
      </c>
      <c r="Q16" s="719">
        <v>0.35</v>
      </c>
      <c r="R16" s="719">
        <v>0.35</v>
      </c>
      <c r="S16" s="719">
        <v>0.35</v>
      </c>
      <c r="T16" s="719">
        <v>0.35</v>
      </c>
      <c r="U16" s="719">
        <v>0.35</v>
      </c>
      <c r="V16" s="719">
        <v>0.35</v>
      </c>
    </row>
    <row r="17" spans="4:22" ht="16.5">
      <c r="F17" s="721"/>
      <c r="I17" s="694">
        <v>0.3</v>
      </c>
      <c r="J17" s="694">
        <v>0.3</v>
      </c>
      <c r="K17" s="694">
        <v>0.3</v>
      </c>
      <c r="L17" s="694">
        <v>0.3</v>
      </c>
      <c r="M17" s="722">
        <v>0.3</v>
      </c>
      <c r="N17" s="696">
        <v>0</v>
      </c>
      <c r="O17" s="696">
        <v>0</v>
      </c>
      <c r="P17" s="696">
        <v>0</v>
      </c>
      <c r="Q17" s="723">
        <v>0</v>
      </c>
      <c r="R17" s="723">
        <v>0</v>
      </c>
      <c r="S17" s="723">
        <v>0</v>
      </c>
      <c r="T17" s="723">
        <v>0</v>
      </c>
      <c r="U17" s="723">
        <v>0</v>
      </c>
      <c r="V17" s="723">
        <v>0</v>
      </c>
    </row>
    <row r="18" spans="4:22" ht="15.75">
      <c r="D18" s="22"/>
      <c r="I18" s="724" t="s">
        <v>550</v>
      </c>
    </row>
    <row r="19" spans="4:22" ht="15.75">
      <c r="I19" s="725">
        <f t="shared" ref="I19:V19" si="0">$D$7*I12</f>
        <v>0</v>
      </c>
      <c r="J19" s="726">
        <f t="shared" si="0"/>
        <v>0</v>
      </c>
      <c r="K19" s="726">
        <f t="shared" si="0"/>
        <v>0</v>
      </c>
      <c r="L19" s="726">
        <f t="shared" si="0"/>
        <v>0</v>
      </c>
      <c r="M19" s="726">
        <f t="shared" si="0"/>
        <v>0</v>
      </c>
      <c r="N19" s="726">
        <f t="shared" si="0"/>
        <v>0</v>
      </c>
      <c r="O19" s="726">
        <f t="shared" si="0"/>
        <v>0</v>
      </c>
      <c r="P19" s="726">
        <f t="shared" si="0"/>
        <v>0</v>
      </c>
      <c r="Q19" s="727">
        <f t="shared" si="0"/>
        <v>0</v>
      </c>
      <c r="R19" s="727">
        <f t="shared" si="0"/>
        <v>0</v>
      </c>
      <c r="S19" s="727">
        <f t="shared" si="0"/>
        <v>0</v>
      </c>
      <c r="T19" s="727">
        <f t="shared" si="0"/>
        <v>0</v>
      </c>
      <c r="U19" s="727">
        <f t="shared" si="0"/>
        <v>0</v>
      </c>
      <c r="V19" s="727">
        <f t="shared" si="0"/>
        <v>0</v>
      </c>
    </row>
    <row r="20" spans="4:22" ht="15.75">
      <c r="I20" s="726">
        <f t="shared" ref="I20:J24" si="1">$D$7*I13</f>
        <v>146343.184059197</v>
      </c>
      <c r="J20" s="726">
        <f t="shared" si="1"/>
        <v>146343.184059197</v>
      </c>
      <c r="K20" s="726">
        <f t="shared" ref="K20:M21" si="2">IF(($D$7*K13)&lt;=3000,3000,($D$7*K13))</f>
        <v>146343.184059197</v>
      </c>
      <c r="L20" s="726">
        <f t="shared" si="2"/>
        <v>146343.184059197</v>
      </c>
      <c r="M20" s="726">
        <f t="shared" si="2"/>
        <v>146343.184059197</v>
      </c>
      <c r="N20" s="726">
        <f t="shared" ref="N20:V20" si="3">$D$7*N13</f>
        <v>146343.184059197</v>
      </c>
      <c r="O20" s="726">
        <f t="shared" si="3"/>
        <v>146343.184059197</v>
      </c>
      <c r="P20" s="726">
        <f t="shared" si="3"/>
        <v>146343.184059197</v>
      </c>
      <c r="Q20" s="727">
        <f t="shared" si="3"/>
        <v>146343.184059197</v>
      </c>
      <c r="R20" s="727">
        <f t="shared" si="3"/>
        <v>146343.184059197</v>
      </c>
      <c r="S20" s="727">
        <f t="shared" si="3"/>
        <v>146343.184059197</v>
      </c>
      <c r="T20" s="727">
        <f t="shared" si="3"/>
        <v>146343.184059197</v>
      </c>
      <c r="U20" s="727">
        <f t="shared" si="3"/>
        <v>146343.184059197</v>
      </c>
      <c r="V20" s="727">
        <f t="shared" si="3"/>
        <v>146343.184059197</v>
      </c>
    </row>
    <row r="21" spans="4:22" ht="15.75">
      <c r="I21" s="726">
        <f t="shared" si="1"/>
        <v>219514.77608879548</v>
      </c>
      <c r="J21" s="726">
        <f t="shared" si="1"/>
        <v>219514.77608879548</v>
      </c>
      <c r="K21" s="726">
        <f t="shared" si="2"/>
        <v>219514.77608879548</v>
      </c>
      <c r="L21" s="726">
        <f t="shared" si="2"/>
        <v>219514.77608879548</v>
      </c>
      <c r="M21" s="726">
        <f t="shared" si="2"/>
        <v>219514.77608879548</v>
      </c>
      <c r="N21" s="726">
        <f t="shared" ref="N21:V21" si="4">$D$7*N14</f>
        <v>292686.36811839399</v>
      </c>
      <c r="O21" s="726">
        <f t="shared" si="4"/>
        <v>292686.36811839399</v>
      </c>
      <c r="P21" s="726">
        <f t="shared" si="4"/>
        <v>292686.36811839399</v>
      </c>
      <c r="Q21" s="727">
        <f t="shared" si="4"/>
        <v>292686.36811839399</v>
      </c>
      <c r="R21" s="727">
        <f t="shared" si="4"/>
        <v>292686.36811839399</v>
      </c>
      <c r="S21" s="727">
        <f t="shared" si="4"/>
        <v>292686.36811839399</v>
      </c>
      <c r="T21" s="727">
        <f t="shared" si="4"/>
        <v>292686.36811839399</v>
      </c>
      <c r="U21" s="727">
        <f t="shared" si="4"/>
        <v>292686.36811839399</v>
      </c>
      <c r="V21" s="727">
        <f t="shared" si="4"/>
        <v>292686.36811839399</v>
      </c>
    </row>
    <row r="22" spans="4:22" ht="15.75">
      <c r="I22" s="726">
        <f t="shared" si="1"/>
        <v>292686.36811839399</v>
      </c>
      <c r="J22" s="726">
        <f t="shared" si="1"/>
        <v>292686.36811839399</v>
      </c>
      <c r="K22" s="726">
        <f t="shared" ref="K22:M24" si="5">IF(($D$7*K15)&lt;=5000,5000,($D$7*K15))</f>
        <v>292686.36811839399</v>
      </c>
      <c r="L22" s="726">
        <f t="shared" si="5"/>
        <v>292686.36811839399</v>
      </c>
      <c r="M22" s="726">
        <f t="shared" si="5"/>
        <v>292686.36811839399</v>
      </c>
      <c r="N22" s="726">
        <f t="shared" ref="N22:V22" si="6">$D$7*N15</f>
        <v>439029.55217759096</v>
      </c>
      <c r="O22" s="726">
        <f t="shared" si="6"/>
        <v>439029.55217759096</v>
      </c>
      <c r="P22" s="726">
        <f t="shared" si="6"/>
        <v>439029.55217759096</v>
      </c>
      <c r="Q22" s="727">
        <f t="shared" si="6"/>
        <v>439029.55217759096</v>
      </c>
      <c r="R22" s="727">
        <f t="shared" si="6"/>
        <v>439029.55217759096</v>
      </c>
      <c r="S22" s="727">
        <f t="shared" si="6"/>
        <v>439029.55217759096</v>
      </c>
      <c r="T22" s="727">
        <f t="shared" si="6"/>
        <v>439029.55217759096</v>
      </c>
      <c r="U22" s="727">
        <f t="shared" si="6"/>
        <v>439029.55217759096</v>
      </c>
      <c r="V22" s="727">
        <f t="shared" si="6"/>
        <v>439029.55217759096</v>
      </c>
    </row>
    <row r="23" spans="4:22" ht="15.75">
      <c r="I23" s="726">
        <f t="shared" si="1"/>
        <v>365857.96014799247</v>
      </c>
      <c r="J23" s="726">
        <f t="shared" si="1"/>
        <v>365857.96014799247</v>
      </c>
      <c r="K23" s="726">
        <f t="shared" si="5"/>
        <v>365857.96014799247</v>
      </c>
      <c r="L23" s="726">
        <f t="shared" si="5"/>
        <v>365857.96014799247</v>
      </c>
      <c r="M23" s="726">
        <f t="shared" si="5"/>
        <v>365857.96014799247</v>
      </c>
      <c r="N23" s="726">
        <f t="shared" ref="N23:V23" si="7">$D$7*N16</f>
        <v>512201.14420718944</v>
      </c>
      <c r="O23" s="726">
        <f t="shared" si="7"/>
        <v>512201.14420718944</v>
      </c>
      <c r="P23" s="726">
        <f t="shared" si="7"/>
        <v>512201.14420718944</v>
      </c>
      <c r="Q23" s="727">
        <f t="shared" si="7"/>
        <v>512201.14420718944</v>
      </c>
      <c r="R23" s="727">
        <f t="shared" si="7"/>
        <v>512201.14420718944</v>
      </c>
      <c r="S23" s="727">
        <f t="shared" si="7"/>
        <v>512201.14420718944</v>
      </c>
      <c r="T23" s="727">
        <f t="shared" si="7"/>
        <v>512201.14420718944</v>
      </c>
      <c r="U23" s="727">
        <f t="shared" si="7"/>
        <v>512201.14420718944</v>
      </c>
      <c r="V23" s="727">
        <f t="shared" si="7"/>
        <v>512201.14420718944</v>
      </c>
    </row>
    <row r="24" spans="4:22" ht="15.75">
      <c r="I24" s="725">
        <f t="shared" si="1"/>
        <v>439029.55217759096</v>
      </c>
      <c r="J24" s="725">
        <f t="shared" si="1"/>
        <v>439029.55217759096</v>
      </c>
      <c r="K24" s="725">
        <f t="shared" si="5"/>
        <v>439029.55217759096</v>
      </c>
      <c r="L24" s="725">
        <f t="shared" si="5"/>
        <v>439029.55217759096</v>
      </c>
      <c r="M24" s="725">
        <f t="shared" si="5"/>
        <v>439029.55217759096</v>
      </c>
      <c r="N24" s="725">
        <f t="shared" ref="N24:V24" si="8">$D$7*N17</f>
        <v>0</v>
      </c>
      <c r="O24" s="725">
        <f t="shared" si="8"/>
        <v>0</v>
      </c>
      <c r="P24" s="725">
        <f t="shared" si="8"/>
        <v>0</v>
      </c>
      <c r="Q24" s="728">
        <f t="shared" si="8"/>
        <v>0</v>
      </c>
      <c r="R24" s="728">
        <f t="shared" si="8"/>
        <v>0</v>
      </c>
      <c r="S24" s="728">
        <f t="shared" si="8"/>
        <v>0</v>
      </c>
      <c r="T24" s="728">
        <f t="shared" si="8"/>
        <v>0</v>
      </c>
      <c r="U24" s="728">
        <f t="shared" si="8"/>
        <v>0</v>
      </c>
      <c r="V24" s="728">
        <f t="shared" si="8"/>
        <v>0</v>
      </c>
    </row>
    <row r="27" spans="4:22" ht="15.75">
      <c r="I27" s="729" t="s">
        <v>548</v>
      </c>
      <c r="J27" s="729" t="s">
        <v>548</v>
      </c>
      <c r="K27" s="730" t="s">
        <v>302</v>
      </c>
      <c r="L27" s="730" t="s">
        <v>302</v>
      </c>
      <c r="M27" s="730" t="s">
        <v>302</v>
      </c>
      <c r="N27" s="730" t="s">
        <v>302</v>
      </c>
      <c r="O27" s="730" t="s">
        <v>302</v>
      </c>
      <c r="P27" s="730" t="s">
        <v>302</v>
      </c>
      <c r="Q27" s="731" t="s">
        <v>302</v>
      </c>
      <c r="R27" s="731" t="s">
        <v>302</v>
      </c>
      <c r="S27" s="731" t="s">
        <v>302</v>
      </c>
      <c r="T27" s="731" t="s">
        <v>302</v>
      </c>
      <c r="U27" s="731" t="s">
        <v>302</v>
      </c>
      <c r="V27" s="731" t="s">
        <v>302</v>
      </c>
    </row>
    <row r="28" spans="4:22" ht="15.75">
      <c r="I28" s="729" t="s">
        <v>548</v>
      </c>
      <c r="J28" s="729" t="s">
        <v>548</v>
      </c>
      <c r="K28" s="730" t="s">
        <v>303</v>
      </c>
      <c r="L28" s="730" t="s">
        <v>303</v>
      </c>
      <c r="M28" s="730" t="s">
        <v>303</v>
      </c>
      <c r="N28" s="730" t="s">
        <v>303</v>
      </c>
      <c r="O28" s="730" t="s">
        <v>303</v>
      </c>
      <c r="P28" s="730" t="s">
        <v>303</v>
      </c>
      <c r="Q28" s="731" t="s">
        <v>303</v>
      </c>
      <c r="R28" s="731" t="s">
        <v>303</v>
      </c>
      <c r="S28" s="731" t="s">
        <v>303</v>
      </c>
      <c r="T28" s="731" t="s">
        <v>303</v>
      </c>
      <c r="U28" s="731" t="s">
        <v>303</v>
      </c>
      <c r="V28" s="731" t="s">
        <v>303</v>
      </c>
    </row>
    <row r="29" spans="4:22">
      <c r="I29" s="732">
        <v>0</v>
      </c>
      <c r="J29" s="732">
        <v>0</v>
      </c>
      <c r="K29" s="732">
        <v>1</v>
      </c>
      <c r="L29" s="732">
        <v>1</v>
      </c>
      <c r="M29" s="732">
        <v>1</v>
      </c>
      <c r="N29" s="732">
        <v>1</v>
      </c>
      <c r="O29" s="732">
        <v>1</v>
      </c>
      <c r="P29" s="732">
        <v>1</v>
      </c>
      <c r="Q29" s="733">
        <v>1</v>
      </c>
      <c r="R29" s="733">
        <v>1</v>
      </c>
      <c r="S29" s="733">
        <v>1</v>
      </c>
      <c r="T29" s="733">
        <v>1</v>
      </c>
      <c r="U29" s="733">
        <v>1</v>
      </c>
      <c r="V29" s="733">
        <v>1</v>
      </c>
    </row>
    <row r="30" spans="4:22">
      <c r="I30" s="732">
        <v>0</v>
      </c>
      <c r="J30" s="732">
        <v>0</v>
      </c>
      <c r="K30" s="732">
        <v>0</v>
      </c>
      <c r="L30" s="732">
        <v>0</v>
      </c>
      <c r="M30" s="732">
        <v>0</v>
      </c>
      <c r="N30" s="732">
        <v>0</v>
      </c>
      <c r="O30" s="732">
        <v>0</v>
      </c>
      <c r="P30" s="732">
        <v>0</v>
      </c>
      <c r="Q30" s="733">
        <v>0</v>
      </c>
      <c r="R30" s="733">
        <v>0</v>
      </c>
      <c r="S30" s="733">
        <v>0</v>
      </c>
      <c r="T30" s="733">
        <v>0</v>
      </c>
      <c r="U30" s="733">
        <v>0</v>
      </c>
      <c r="V30" s="733">
        <v>0</v>
      </c>
    </row>
    <row r="32" spans="4:22">
      <c r="I32" s="734" t="s">
        <v>598</v>
      </c>
      <c r="J32" s="734" t="s">
        <v>598</v>
      </c>
      <c r="K32" s="734" t="s">
        <v>598</v>
      </c>
      <c r="L32" s="734" t="s">
        <v>598</v>
      </c>
      <c r="M32" s="734" t="s">
        <v>598</v>
      </c>
      <c r="N32" s="734" t="s">
        <v>598</v>
      </c>
      <c r="O32" s="734" t="s">
        <v>598</v>
      </c>
      <c r="P32" s="734" t="s">
        <v>503</v>
      </c>
      <c r="Q32" s="735" t="s">
        <v>503</v>
      </c>
      <c r="R32" s="735" t="s">
        <v>503</v>
      </c>
      <c r="S32" s="735" t="s">
        <v>503</v>
      </c>
      <c r="T32" s="735" t="s">
        <v>503</v>
      </c>
      <c r="U32" s="735" t="s">
        <v>503</v>
      </c>
      <c r="V32" s="735" t="s">
        <v>503</v>
      </c>
    </row>
    <row r="33" spans="9:22" ht="15.75">
      <c r="I33" s="736">
        <f>$C$14*0</f>
        <v>0</v>
      </c>
      <c r="J33" s="736">
        <f t="shared" ref="J33:O33" si="9">$C$14*0</f>
        <v>0</v>
      </c>
      <c r="K33" s="736">
        <f t="shared" si="9"/>
        <v>0</v>
      </c>
      <c r="L33" s="736">
        <f t="shared" si="9"/>
        <v>0</v>
      </c>
      <c r="M33" s="736">
        <f t="shared" si="9"/>
        <v>0</v>
      </c>
      <c r="N33" s="736">
        <f t="shared" si="9"/>
        <v>0</v>
      </c>
      <c r="O33" s="736">
        <f t="shared" si="9"/>
        <v>0</v>
      </c>
      <c r="P33" s="736">
        <f>$C$14*1</f>
        <v>0</v>
      </c>
      <c r="Q33" s="737">
        <f t="shared" ref="Q33:V33" si="10">$C$14*1</f>
        <v>0</v>
      </c>
      <c r="R33" s="737">
        <f t="shared" si="10"/>
        <v>0</v>
      </c>
      <c r="S33" s="737">
        <f t="shared" si="10"/>
        <v>0</v>
      </c>
      <c r="T33" s="737">
        <f t="shared" si="10"/>
        <v>0</v>
      </c>
      <c r="U33" s="737">
        <f t="shared" si="10"/>
        <v>0</v>
      </c>
      <c r="V33" s="737">
        <f t="shared" si="10"/>
        <v>0</v>
      </c>
    </row>
    <row r="58" spans="3:22" ht="13.5">
      <c r="I58" s="987" t="s">
        <v>568</v>
      </c>
      <c r="J58" s="987" t="s">
        <v>568</v>
      </c>
      <c r="K58" s="987" t="s">
        <v>568</v>
      </c>
      <c r="L58" s="987" t="s">
        <v>568</v>
      </c>
      <c r="M58" s="987" t="s">
        <v>568</v>
      </c>
      <c r="N58" s="987" t="s">
        <v>568</v>
      </c>
      <c r="O58" s="987" t="s">
        <v>568</v>
      </c>
      <c r="P58" s="987" t="s">
        <v>777</v>
      </c>
      <c r="Q58" s="1033" t="s">
        <v>777</v>
      </c>
      <c r="R58" s="1033" t="s">
        <v>777</v>
      </c>
      <c r="S58" s="1033" t="s">
        <v>777</v>
      </c>
      <c r="T58" s="760" t="s">
        <v>777</v>
      </c>
      <c r="U58" s="760" t="s">
        <v>777</v>
      </c>
      <c r="V58" s="760" t="s">
        <v>777</v>
      </c>
    </row>
    <row r="59" spans="3:22" ht="13.5">
      <c r="I59" s="987" t="s">
        <v>90</v>
      </c>
      <c r="J59" s="987" t="s">
        <v>90</v>
      </c>
      <c r="K59" s="987" t="s">
        <v>90</v>
      </c>
      <c r="L59" s="987" t="s">
        <v>90</v>
      </c>
      <c r="M59" s="987" t="s">
        <v>90</v>
      </c>
      <c r="N59" s="987" t="s">
        <v>90</v>
      </c>
      <c r="O59" s="987" t="s">
        <v>90</v>
      </c>
      <c r="P59" s="987" t="s">
        <v>775</v>
      </c>
      <c r="Q59" s="1033" t="s">
        <v>775</v>
      </c>
      <c r="R59" s="1033" t="s">
        <v>775</v>
      </c>
      <c r="S59" s="1033" t="s">
        <v>775</v>
      </c>
      <c r="T59" s="760" t="s">
        <v>775</v>
      </c>
      <c r="U59" s="760" t="s">
        <v>775</v>
      </c>
      <c r="V59" s="760" t="s">
        <v>775</v>
      </c>
    </row>
    <row r="60" spans="3:22" ht="18" customHeight="1">
      <c r="C60" s="1270" t="s">
        <v>31</v>
      </c>
      <c r="D60" s="1270"/>
      <c r="E60" s="20"/>
      <c r="F60" s="738"/>
      <c r="G60" s="738"/>
      <c r="I60" s="670" t="str" cm="1">
        <f t="array" ref="I60:V60">TRANSPOSE('MisC Intrst-3'!R10:R23)</f>
        <v>2016-17</v>
      </c>
      <c r="J60" s="670" t="str">
        <v>2017-18</v>
      </c>
      <c r="K60" s="670" t="str">
        <v>2018-19</v>
      </c>
      <c r="L60" s="670" t="str">
        <v>2019-20</v>
      </c>
      <c r="M60" s="670" t="str">
        <v>2020-21</v>
      </c>
      <c r="N60" s="670" t="str">
        <v>2021-22</v>
      </c>
      <c r="O60" s="670" t="str">
        <v>2022-23</v>
      </c>
      <c r="P60" s="670" t="str">
        <v>2023-24</v>
      </c>
      <c r="Q60" s="670" t="str">
        <v>2024-25</v>
      </c>
      <c r="R60" s="670" t="str">
        <v>2025-26</v>
      </c>
      <c r="S60" s="670" t="str">
        <v>2026-27</v>
      </c>
      <c r="T60" s="670" t="str">
        <v>2027-28</v>
      </c>
      <c r="U60" s="670" t="str">
        <v>2028-29</v>
      </c>
      <c r="V60" s="670" t="str">
        <v>2029-30</v>
      </c>
    </row>
    <row r="61" spans="3:22" ht="16.5">
      <c r="C61" s="739" t="s">
        <v>562</v>
      </c>
      <c r="D61" s="740" cm="1">
        <f t="array" ref="D61">_xlfn.XLOOKUP(G4,_xlfn.ANCHORARRAY(I60),I63:V63,0,1)</f>
        <v>12152852</v>
      </c>
      <c r="E61" s="1025"/>
      <c r="F61" s="1028" t="s">
        <v>574</v>
      </c>
      <c r="G61" s="741" cm="1">
        <f t="array" ref="G61">_xlfn.XLOOKUP(G4,_xlfn.ANCHORARRAY(I60),I61:V61,0,1)</f>
        <v>0.03</v>
      </c>
      <c r="I61" s="742">
        <v>0.25</v>
      </c>
      <c r="J61" s="742">
        <v>0.25</v>
      </c>
      <c r="K61" s="742">
        <v>0.25</v>
      </c>
      <c r="L61" s="742">
        <v>0.25</v>
      </c>
      <c r="M61" s="742">
        <v>0.25</v>
      </c>
      <c r="N61" s="742">
        <v>0.25</v>
      </c>
      <c r="O61" s="742">
        <v>0.2</v>
      </c>
      <c r="P61" s="742">
        <v>0.03</v>
      </c>
      <c r="Q61" s="1031">
        <v>0.03</v>
      </c>
      <c r="R61" s="1031">
        <v>0.03</v>
      </c>
      <c r="S61" s="1031">
        <v>0.03</v>
      </c>
      <c r="T61" s="743">
        <v>0.03</v>
      </c>
      <c r="U61" s="743">
        <v>0.03</v>
      </c>
      <c r="V61" s="743">
        <v>0.03</v>
      </c>
    </row>
    <row r="62" spans="3:22" ht="16.5">
      <c r="C62" s="739" t="str" cm="1">
        <f t="array" ref="C62">"wbqwgZ ‡gvU Av‡qi "&amp;_xlfn.XLOOKUP(G4,_xlfn.ANCHORARRAY(I60),I62:V62,0,1)&amp;"%"</f>
        <v>wbqwgZ ‡gvU Av‡qi 3%</v>
      </c>
      <c r="D62" s="740">
        <f>D61*G61</f>
        <v>364585.56</v>
      </c>
      <c r="E62" s="1026"/>
      <c r="F62" s="1029" t="s">
        <v>562</v>
      </c>
      <c r="G62" s="744">
        <f>'Data Input'!E33</f>
        <v>5462355</v>
      </c>
      <c r="I62" s="745">
        <v>25</v>
      </c>
      <c r="J62" s="745">
        <v>25</v>
      </c>
      <c r="K62" s="745">
        <v>25</v>
      </c>
      <c r="L62" s="745">
        <v>25</v>
      </c>
      <c r="M62" s="745">
        <v>25</v>
      </c>
      <c r="N62" s="745">
        <v>25</v>
      </c>
      <c r="O62" s="745">
        <v>20</v>
      </c>
      <c r="P62" s="745">
        <v>3</v>
      </c>
      <c r="Q62" s="1010">
        <v>3</v>
      </c>
      <c r="R62" s="1010">
        <v>3</v>
      </c>
      <c r="S62" s="1010">
        <v>3</v>
      </c>
      <c r="T62" s="746">
        <v>3</v>
      </c>
      <c r="U62" s="746">
        <v>3</v>
      </c>
      <c r="V62" s="746">
        <v>3</v>
      </c>
    </row>
    <row r="63" spans="3:22" ht="16.5">
      <c r="C63" s="739" t="str" cm="1">
        <f t="array" ref="C63">"ev, "&amp;_xlfn.XLOOKUP(G4,_xlfn.ANCHORARRAY(I60),I65:V65,0,1)</f>
        <v>ev, †iqvZ‡hvM¨ (wewb‡qvM I e¨‡qi) 15%</v>
      </c>
      <c r="D63" s="516" cm="1">
        <f t="array" ref="D63">_xlfn.XLOOKUP(G4,_xlfn.ANCHORARRAY(I60),I64:V64,0,1)</f>
        <v>148535.25</v>
      </c>
      <c r="E63" s="1027"/>
      <c r="F63" s="747" t="str" cm="1">
        <f t="array" ref="F63">_xlfn.XLOOKUP(G4,_xlfn.ANCHORARRAY(I60),I59:V59,0,1)</f>
        <v>†iqvZ‡hvM¨ wewb‡qvM I e¨q</v>
      </c>
      <c r="G63" s="748">
        <f>'Data Input'!E39</f>
        <v>990235</v>
      </c>
      <c r="I63" s="749">
        <f t="shared" ref="I63:Q63" si="11">$G$62</f>
        <v>5462355</v>
      </c>
      <c r="J63" s="749">
        <f t="shared" si="11"/>
        <v>5462355</v>
      </c>
      <c r="K63" s="749">
        <f t="shared" si="11"/>
        <v>5462355</v>
      </c>
      <c r="L63" s="749">
        <f t="shared" si="11"/>
        <v>5462355</v>
      </c>
      <c r="M63" s="749">
        <f t="shared" si="11"/>
        <v>5462355</v>
      </c>
      <c r="N63" s="749">
        <f t="shared" si="11"/>
        <v>5462355</v>
      </c>
      <c r="O63" s="749">
        <f t="shared" si="11"/>
        <v>5462355</v>
      </c>
      <c r="P63" s="749">
        <f t="shared" si="11"/>
        <v>5462355</v>
      </c>
      <c r="Q63" s="1030">
        <f t="shared" si="11"/>
        <v>5462355</v>
      </c>
      <c r="R63" s="1030">
        <f>$G$64</f>
        <v>12152852</v>
      </c>
      <c r="S63" s="1030">
        <f>$G$64</f>
        <v>12152852</v>
      </c>
      <c r="T63" s="750">
        <f>$G$64</f>
        <v>12152852</v>
      </c>
      <c r="U63" s="750">
        <f>$G$64</f>
        <v>12152852</v>
      </c>
      <c r="V63" s="750">
        <f>$G$64</f>
        <v>12152852</v>
      </c>
    </row>
    <row r="64" spans="3:22" ht="16.5">
      <c r="C64" s="751" t="str" cm="1">
        <f t="array" ref="C64">"ev,  "&amp;_xlfn.XLOOKUP(G4,_xlfn.ANCHORARRAY(I60),I66:V66,0,1)&amp;" UvKv"</f>
        <v>ev,  10 j¶ UvKv</v>
      </c>
      <c r="D64" s="740" cm="1">
        <f t="array" ref="D64">_xlfn.XLOOKUP(G4,_xlfn.ANCHORARRAY(I60),I67:V67,0,1)</f>
        <v>1000000</v>
      </c>
      <c r="E64" s="1036"/>
      <c r="F64" s="1037" t="s">
        <v>802</v>
      </c>
      <c r="G64" s="1038">
        <f>'Data Input'!E33+'Data Input'!E36-'Data Input'!E31</f>
        <v>12152852</v>
      </c>
      <c r="I64" s="752">
        <f t="shared" ref="I64:O64" si="12">$G$63</f>
        <v>990235</v>
      </c>
      <c r="J64" s="752">
        <f t="shared" si="12"/>
        <v>990235</v>
      </c>
      <c r="K64" s="752">
        <f t="shared" si="12"/>
        <v>990235</v>
      </c>
      <c r="L64" s="752">
        <f t="shared" si="12"/>
        <v>990235</v>
      </c>
      <c r="M64" s="752">
        <f t="shared" si="12"/>
        <v>990235</v>
      </c>
      <c r="N64" s="752">
        <f t="shared" si="12"/>
        <v>990235</v>
      </c>
      <c r="O64" s="752">
        <f t="shared" si="12"/>
        <v>990235</v>
      </c>
      <c r="P64" s="752">
        <f t="shared" ref="P64:V64" si="13">$G$63*0.15</f>
        <v>148535.25</v>
      </c>
      <c r="Q64" s="1032">
        <f t="shared" si="13"/>
        <v>148535.25</v>
      </c>
      <c r="R64" s="1032">
        <f t="shared" si="13"/>
        <v>148535.25</v>
      </c>
      <c r="S64" s="1032">
        <f t="shared" si="13"/>
        <v>148535.25</v>
      </c>
      <c r="T64" s="753">
        <f t="shared" si="13"/>
        <v>148535.25</v>
      </c>
      <c r="U64" s="753">
        <f t="shared" si="13"/>
        <v>148535.25</v>
      </c>
      <c r="V64" s="753">
        <f t="shared" si="13"/>
        <v>148535.25</v>
      </c>
    </row>
    <row r="65" spans="3:22" ht="16.5">
      <c r="C65" s="754" t="s">
        <v>566</v>
      </c>
      <c r="D65" s="755">
        <f>MIN(D62:D64)</f>
        <v>148535.25</v>
      </c>
      <c r="E65" s="756"/>
      <c r="F65" s="757" t="str">
        <f>'MisC Cal-1'!B133</f>
        <v>ব্যক্তিসংঘ/ফার্মের করারোপিত শেয়ার আয়</v>
      </c>
      <c r="G65" s="758">
        <f>'Data Input'!E31</f>
        <v>500000</v>
      </c>
      <c r="I65" s="759" t="str">
        <f>I59</f>
        <v>†iqvZ‡hvM¨ wewb‡qvM</v>
      </c>
      <c r="J65" s="759" t="str">
        <f t="shared" ref="J65:O65" si="14">J59</f>
        <v>†iqvZ‡hvM¨ wewb‡qvM</v>
      </c>
      <c r="K65" s="759" t="str">
        <f t="shared" si="14"/>
        <v>†iqvZ‡hvM¨ wewb‡qvM</v>
      </c>
      <c r="L65" s="759" t="str">
        <f t="shared" si="14"/>
        <v>†iqvZ‡hvM¨ wewb‡qvM</v>
      </c>
      <c r="M65" s="759" t="str">
        <f t="shared" si="14"/>
        <v>†iqvZ‡hvM¨ wewb‡qvM</v>
      </c>
      <c r="N65" s="759" t="str">
        <f t="shared" si="14"/>
        <v>†iqvZ‡hvM¨ wewb‡qvM</v>
      </c>
      <c r="O65" s="759" t="str">
        <f t="shared" si="14"/>
        <v>†iqvZ‡hvM¨ wewb‡qvM</v>
      </c>
      <c r="P65" s="987" t="s">
        <v>776</v>
      </c>
      <c r="Q65" s="1033" t="s">
        <v>776</v>
      </c>
      <c r="R65" s="1033" t="s">
        <v>776</v>
      </c>
      <c r="S65" s="1033" t="s">
        <v>776</v>
      </c>
      <c r="T65" s="760" t="s">
        <v>776</v>
      </c>
      <c r="U65" s="760" t="s">
        <v>776</v>
      </c>
      <c r="V65" s="760" t="s">
        <v>776</v>
      </c>
    </row>
    <row r="66" spans="3:22" ht="16.5">
      <c r="C66" s="761" t="str" cm="1">
        <f t="array" ref="C66">_xlfn.XLOOKUP(G4,_xlfn.ANCHORARRAY(I60),I58:V58,0,1)&amp;" = "&amp;D65&amp;"/-"</f>
        <v>Aby‡gvw`Z wewb‡qvM I e¨q = 148535.25/-</v>
      </c>
      <c r="D66" s="740">
        <f>D65</f>
        <v>148535.25</v>
      </c>
      <c r="E66" s="762"/>
      <c r="F66" s="763" t="s">
        <v>591</v>
      </c>
      <c r="G66" s="764">
        <f>'Data Input'!E33</f>
        <v>5462355</v>
      </c>
      <c r="I66" s="765" t="s">
        <v>563</v>
      </c>
      <c r="J66" s="765" t="s">
        <v>563</v>
      </c>
      <c r="K66" s="765" t="s">
        <v>563</v>
      </c>
      <c r="L66" s="765" t="s">
        <v>563</v>
      </c>
      <c r="M66" s="765" t="s">
        <v>563</v>
      </c>
      <c r="N66" s="765" t="s">
        <v>564</v>
      </c>
      <c r="O66" s="765" t="s">
        <v>564</v>
      </c>
      <c r="P66" s="765" t="s">
        <v>565</v>
      </c>
      <c r="Q66" s="1034" t="s">
        <v>565</v>
      </c>
      <c r="R66" s="1034" t="s">
        <v>565</v>
      </c>
      <c r="S66" s="1034" t="s">
        <v>565</v>
      </c>
      <c r="T66" s="766" t="s">
        <v>565</v>
      </c>
      <c r="U66" s="766" t="s">
        <v>565</v>
      </c>
      <c r="V66" s="766" t="s">
        <v>565</v>
      </c>
    </row>
    <row r="67" spans="3:22" ht="16.5">
      <c r="C67" s="767" t="s">
        <v>594</v>
      </c>
      <c r="D67" s="770" cm="1">
        <f t="array" ref="D67">_xlfn.XLOOKUP(G4,_xlfn.ANCHORARRAY(I60),I68:V68,0,1)</f>
        <v>148535.25</v>
      </c>
      <c r="E67" s="762"/>
      <c r="F67" s="763" t="s">
        <v>243</v>
      </c>
      <c r="G67" s="764">
        <f>'MisC Cal-1'!L6</f>
        <v>1203706.5</v>
      </c>
      <c r="I67" s="768">
        <v>15000000</v>
      </c>
      <c r="J67" s="768">
        <v>15000000</v>
      </c>
      <c r="K67" s="768">
        <v>15000000</v>
      </c>
      <c r="L67" s="768">
        <v>15000000</v>
      </c>
      <c r="M67" s="768">
        <v>15000000</v>
      </c>
      <c r="N67" s="768">
        <v>10000000</v>
      </c>
      <c r="O67" s="768">
        <v>10000000</v>
      </c>
      <c r="P67" s="768">
        <v>1000000</v>
      </c>
      <c r="Q67" s="1035">
        <v>1000000</v>
      </c>
      <c r="R67" s="1035">
        <v>1000000</v>
      </c>
      <c r="S67" s="1035">
        <v>1000000</v>
      </c>
      <c r="T67" s="769">
        <v>1000000</v>
      </c>
      <c r="U67" s="769">
        <v>1000000</v>
      </c>
      <c r="V67" s="769">
        <v>1000000</v>
      </c>
    </row>
    <row r="68" spans="3:22" ht="16.5">
      <c r="C68" s="761" t="s">
        <v>597</v>
      </c>
      <c r="D68" s="770">
        <f>IF(G68&gt;=0,G68,0)</f>
        <v>110182.00940803006</v>
      </c>
      <c r="E68" s="771"/>
      <c r="F68" s="772" t="s">
        <v>595</v>
      </c>
      <c r="G68" s="773">
        <f>G67*(G65/G66)</f>
        <v>110182.00940803006</v>
      </c>
      <c r="H68" s="774" t="s">
        <v>573</v>
      </c>
      <c r="I68" s="768">
        <f>$H$89</f>
        <v>22280.287499999999</v>
      </c>
      <c r="J68" s="768">
        <f>$H$89</f>
        <v>22280.287499999999</v>
      </c>
      <c r="K68" s="768">
        <f>$H$89</f>
        <v>22280.287499999999</v>
      </c>
      <c r="L68" s="768">
        <f>$H$98</f>
        <v>14853.525000000001</v>
      </c>
      <c r="M68" s="768">
        <f>$H$98</f>
        <v>14853.525000000001</v>
      </c>
      <c r="N68" s="768">
        <f>$H$98</f>
        <v>14853.525000000001</v>
      </c>
      <c r="O68" s="768">
        <f>H103</f>
        <v>22280.287499999999</v>
      </c>
      <c r="P68" s="768">
        <f>$D$65</f>
        <v>148535.25</v>
      </c>
      <c r="Q68" s="1035">
        <f t="shared" ref="Q68:V68" si="15">$D$65</f>
        <v>148535.25</v>
      </c>
      <c r="R68" s="1035">
        <f t="shared" si="15"/>
        <v>148535.25</v>
      </c>
      <c r="S68" s="1035">
        <f t="shared" si="15"/>
        <v>148535.25</v>
      </c>
      <c r="T68" s="769">
        <f t="shared" si="15"/>
        <v>148535.25</v>
      </c>
      <c r="U68" s="769">
        <f t="shared" si="15"/>
        <v>148535.25</v>
      </c>
      <c r="V68" s="769">
        <f t="shared" si="15"/>
        <v>148535.25</v>
      </c>
    </row>
    <row r="69" spans="3:22" ht="18.75" customHeight="1">
      <c r="C69" s="606" t="s">
        <v>29</v>
      </c>
      <c r="D69" s="169">
        <f>D68+D67</f>
        <v>258717.25940803008</v>
      </c>
    </row>
    <row r="71" spans="3:22" ht="15.75">
      <c r="H71" s="775" t="s">
        <v>600</v>
      </c>
      <c r="I71" s="776">
        <f>'MisC Cal-1'!$I$90</f>
        <v>1600000</v>
      </c>
      <c r="J71" s="776">
        <f>'MisC Cal-1'!$I$90</f>
        <v>1600000</v>
      </c>
      <c r="K71" s="776">
        <f>'MisC Cal-1'!$I$90</f>
        <v>1600000</v>
      </c>
      <c r="L71" s="776">
        <f>'MisC Cal-1'!$I$90</f>
        <v>1600000</v>
      </c>
      <c r="M71" s="776">
        <f>'MisC Cal-1'!$I$90</f>
        <v>1600000</v>
      </c>
      <c r="N71" s="776">
        <f>'MisC Cal-1'!$I$90</f>
        <v>1600000</v>
      </c>
      <c r="O71" s="776">
        <f>'MisC Cal-1'!$I$90</f>
        <v>1600000</v>
      </c>
      <c r="P71" s="776">
        <f>'MisC Cal-1'!$I$90</f>
        <v>1600000</v>
      </c>
      <c r="Q71" s="1073">
        <f>'MisC Cal-1'!$I$90</f>
        <v>1600000</v>
      </c>
      <c r="R71" s="1073">
        <f>'MisC Cal-1'!$I$90</f>
        <v>1600000</v>
      </c>
      <c r="S71" s="1073">
        <f>'MisC Cal-1'!$I$90</f>
        <v>1600000</v>
      </c>
      <c r="T71" s="777">
        <f>'MisC Cal-1'!$I$90</f>
        <v>1600000</v>
      </c>
      <c r="U71" s="777">
        <f>'MisC Cal-1'!$I$90</f>
        <v>1600000</v>
      </c>
      <c r="V71" s="777">
        <f>'MisC Cal-1'!$I$90</f>
        <v>1600000</v>
      </c>
    </row>
    <row r="72" spans="3:22" ht="16.5">
      <c r="C72" s="153" t="s">
        <v>771</v>
      </c>
      <c r="H72" s="775" t="s">
        <v>601</v>
      </c>
      <c r="I72" s="776">
        <f>'MisC Cal-1'!$J$90</f>
        <v>0</v>
      </c>
      <c r="J72" s="776">
        <f>'MisC Cal-1'!$J$90</f>
        <v>0</v>
      </c>
      <c r="K72" s="776">
        <f>'MisC Cal-1'!$J$90</f>
        <v>0</v>
      </c>
      <c r="L72" s="776">
        <f>'MisC Cal-1'!$J$90</f>
        <v>0</v>
      </c>
      <c r="M72" s="776">
        <f>'MisC Cal-1'!$J$90</f>
        <v>0</v>
      </c>
      <c r="N72" s="776">
        <f>'MisC Cal-1'!$J$90</f>
        <v>0</v>
      </c>
      <c r="O72" s="776">
        <f>'MisC Cal-1'!$J$90</f>
        <v>0</v>
      </c>
      <c r="P72" s="776">
        <f>MIN((P71/3),450000)</f>
        <v>450000</v>
      </c>
      <c r="Q72" s="1073">
        <f t="shared" ref="Q72" si="16">MIN((Q71/3),450000)</f>
        <v>450000</v>
      </c>
      <c r="R72" s="1073">
        <f>MIN((R71/3),500000)</f>
        <v>500000</v>
      </c>
      <c r="S72" s="1073">
        <f>MIN((S71/3),500000)</f>
        <v>500000</v>
      </c>
      <c r="T72" s="777">
        <f>MIN((T71/3),500000)</f>
        <v>500000</v>
      </c>
      <c r="U72" s="777">
        <f>MIN((U71/3),500000)</f>
        <v>500000</v>
      </c>
      <c r="V72" s="777">
        <f>MIN((V71/3),500000)</f>
        <v>500000</v>
      </c>
    </row>
    <row r="73" spans="3:22" ht="16.5">
      <c r="C73" s="660" t="str">
        <f>"*("&amp;C68&amp;" = "&amp;ROUNDUP(D68,0)&amp;"/-)"</f>
        <v>*(e¨w³msN/dv‡g©i Av‡qi Rb¨ Ki Ae¨vnwZ = 110183/-)</v>
      </c>
      <c r="D73" s="122"/>
      <c r="H73" s="774" t="s">
        <v>602</v>
      </c>
      <c r="I73" s="776">
        <f>'MisC Cal-1'!$K$90</f>
        <v>1600000</v>
      </c>
      <c r="J73" s="776">
        <f>'MisC Cal-1'!$K$90</f>
        <v>1600000</v>
      </c>
      <c r="K73" s="776">
        <f>'MisC Cal-1'!$K$90</f>
        <v>1600000</v>
      </c>
      <c r="L73" s="776">
        <f>'MisC Cal-1'!$K$90</f>
        <v>1600000</v>
      </c>
      <c r="M73" s="776">
        <f>'MisC Cal-1'!$K$90</f>
        <v>1600000</v>
      </c>
      <c r="N73" s="776">
        <f>'MisC Cal-1'!$K$90</f>
        <v>1600000</v>
      </c>
      <c r="O73" s="776">
        <f>'MisC Cal-1'!$K$90</f>
        <v>1600000</v>
      </c>
      <c r="P73" s="776">
        <f>P71-P72</f>
        <v>1150000</v>
      </c>
      <c r="Q73" s="1073">
        <f t="shared" ref="Q73:V73" si="17">Q71-Q72</f>
        <v>1150000</v>
      </c>
      <c r="R73" s="1073">
        <f t="shared" si="17"/>
        <v>1100000</v>
      </c>
      <c r="S73" s="1073">
        <f t="shared" si="17"/>
        <v>1100000</v>
      </c>
      <c r="T73" s="777">
        <f t="shared" si="17"/>
        <v>1100000</v>
      </c>
      <c r="U73" s="777">
        <f t="shared" si="17"/>
        <v>1100000</v>
      </c>
      <c r="V73" s="777">
        <f t="shared" si="17"/>
        <v>1100000</v>
      </c>
    </row>
    <row r="74" spans="3:22" ht="15.75">
      <c r="C74" s="952" t="s">
        <v>241</v>
      </c>
      <c r="D74" s="953"/>
      <c r="E74" s="721"/>
      <c r="Q74" s="1074"/>
      <c r="R74" s="1074"/>
      <c r="S74" s="1074"/>
    </row>
    <row r="75" spans="3:22" ht="15.75">
      <c r="C75" s="954"/>
      <c r="D75" s="122"/>
      <c r="E75" s="721"/>
      <c r="F75" s="778" t="s">
        <v>356</v>
      </c>
      <c r="G75" s="779">
        <f>'MisC Intrst-3'!O36</f>
        <v>45991</v>
      </c>
      <c r="H75" s="1273" t="s">
        <v>613</v>
      </c>
      <c r="I75" s="776">
        <f>I71</f>
        <v>1600000</v>
      </c>
      <c r="J75" s="776">
        <f t="shared" ref="J75:V75" si="18">J71</f>
        <v>1600000</v>
      </c>
      <c r="K75" s="776">
        <f t="shared" si="18"/>
        <v>1600000</v>
      </c>
      <c r="L75" s="776">
        <f t="shared" si="18"/>
        <v>1600000</v>
      </c>
      <c r="M75" s="776">
        <f t="shared" si="18"/>
        <v>1600000</v>
      </c>
      <c r="N75" s="776">
        <f t="shared" si="18"/>
        <v>1600000</v>
      </c>
      <c r="O75" s="776">
        <f t="shared" si="18"/>
        <v>1600000</v>
      </c>
      <c r="P75" s="776">
        <f t="shared" si="18"/>
        <v>1600000</v>
      </c>
      <c r="Q75" s="1073">
        <f t="shared" si="18"/>
        <v>1600000</v>
      </c>
      <c r="R75" s="1073">
        <f t="shared" si="18"/>
        <v>1600000</v>
      </c>
      <c r="S75" s="1073">
        <f t="shared" si="18"/>
        <v>1600000</v>
      </c>
      <c r="T75" s="777">
        <f t="shared" si="18"/>
        <v>1600000</v>
      </c>
      <c r="U75" s="777">
        <f t="shared" si="18"/>
        <v>1600000</v>
      </c>
      <c r="V75" s="777">
        <f t="shared" si="18"/>
        <v>1600000</v>
      </c>
    </row>
    <row r="76" spans="3:22" ht="16.5">
      <c r="C76" s="660" t="str">
        <f>IF(D68&gt;0,C73,C74)</f>
        <v>*(e¨w³msN/dv‡g©i Av‡qi Rb¨ Ki Ae¨vnwZ = 110183/-)</v>
      </c>
      <c r="D76" s="122"/>
      <c r="F76" s="778" t="s">
        <v>227</v>
      </c>
      <c r="G76" s="779">
        <f>'Data Input'!D5</f>
        <v>45962</v>
      </c>
      <c r="H76" s="1273"/>
      <c r="I76" s="776">
        <f t="shared" ref="I76:O76" si="19">I72</f>
        <v>0</v>
      </c>
      <c r="J76" s="776">
        <f t="shared" si="19"/>
        <v>0</v>
      </c>
      <c r="K76" s="776">
        <f t="shared" si="19"/>
        <v>0</v>
      </c>
      <c r="L76" s="776">
        <f t="shared" si="19"/>
        <v>0</v>
      </c>
      <c r="M76" s="776">
        <f t="shared" si="19"/>
        <v>0</v>
      </c>
      <c r="N76" s="776">
        <f t="shared" si="19"/>
        <v>0</v>
      </c>
      <c r="O76" s="776">
        <f t="shared" si="19"/>
        <v>0</v>
      </c>
      <c r="P76" s="776">
        <f>IF($G$77&gt;0,0,P72)</f>
        <v>450000</v>
      </c>
      <c r="Q76" s="1073">
        <f>IF($G$77&gt;0,0,Q72)</f>
        <v>450000</v>
      </c>
      <c r="R76" s="1073">
        <f t="shared" ref="R76:V76" si="20">IF($G$77&gt;0,0,R72)</f>
        <v>500000</v>
      </c>
      <c r="S76" s="1073">
        <f t="shared" si="20"/>
        <v>500000</v>
      </c>
      <c r="T76" s="777">
        <f t="shared" si="20"/>
        <v>500000</v>
      </c>
      <c r="U76" s="777">
        <f t="shared" si="20"/>
        <v>500000</v>
      </c>
      <c r="V76" s="777">
        <f t="shared" si="20"/>
        <v>500000</v>
      </c>
    </row>
    <row r="77" spans="3:22" ht="15.75">
      <c r="F77" s="780" t="s">
        <v>469</v>
      </c>
      <c r="G77" s="780">
        <f>G76-G75</f>
        <v>-29</v>
      </c>
      <c r="H77" s="1273"/>
      <c r="I77" s="776">
        <f>I75-I76</f>
        <v>1600000</v>
      </c>
      <c r="J77" s="776">
        <f t="shared" ref="J77:O77" si="21">J75-J76</f>
        <v>1600000</v>
      </c>
      <c r="K77" s="776">
        <f t="shared" si="21"/>
        <v>1600000</v>
      </c>
      <c r="L77" s="776">
        <f t="shared" si="21"/>
        <v>1600000</v>
      </c>
      <c r="M77" s="776">
        <f t="shared" si="21"/>
        <v>1600000</v>
      </c>
      <c r="N77" s="776">
        <f t="shared" si="21"/>
        <v>1600000</v>
      </c>
      <c r="O77" s="776">
        <f t="shared" si="21"/>
        <v>1600000</v>
      </c>
      <c r="P77" s="776">
        <f>P75-P76</f>
        <v>1150000</v>
      </c>
      <c r="Q77" s="1073">
        <f>Q75-Q76</f>
        <v>1150000</v>
      </c>
      <c r="R77" s="1073">
        <f t="shared" ref="R77:V77" si="22">R75-R76</f>
        <v>1100000</v>
      </c>
      <c r="S77" s="1073">
        <f t="shared" si="22"/>
        <v>1100000</v>
      </c>
      <c r="T77" s="777">
        <f t="shared" si="22"/>
        <v>1100000</v>
      </c>
      <c r="U77" s="777">
        <f t="shared" si="22"/>
        <v>1100000</v>
      </c>
      <c r="V77" s="777">
        <f t="shared" si="22"/>
        <v>1100000</v>
      </c>
    </row>
    <row r="78" spans="3:22" ht="16.5">
      <c r="E78" s="781"/>
      <c r="Q78" s="1074"/>
      <c r="R78" s="1074"/>
      <c r="S78" s="1074"/>
    </row>
    <row r="79" spans="3:22" ht="15.75">
      <c r="F79" s="775" t="s">
        <v>227</v>
      </c>
      <c r="G79" s="782">
        <f>'Data Input'!D5</f>
        <v>45962</v>
      </c>
      <c r="H79" s="1273" t="s">
        <v>725</v>
      </c>
      <c r="I79" s="776">
        <f>'MisC Cal-1'!$I$90</f>
        <v>1600000</v>
      </c>
      <c r="J79" s="776">
        <f>'MisC Cal-1'!$I$90</f>
        <v>1600000</v>
      </c>
      <c r="K79" s="776">
        <f>'MisC Cal-1'!$I$90</f>
        <v>1600000</v>
      </c>
      <c r="L79" s="776">
        <f>'MisC Cal-1'!$I$90</f>
        <v>1600000</v>
      </c>
      <c r="M79" s="776">
        <f>'MisC Cal-1'!$I$90</f>
        <v>1600000</v>
      </c>
      <c r="N79" s="776">
        <f>'MisC Cal-1'!$I$90</f>
        <v>1600000</v>
      </c>
      <c r="O79" s="776">
        <f>'MisC Cal-1'!$I$90</f>
        <v>1600000</v>
      </c>
      <c r="P79" s="776">
        <f>'MisC Cal-1'!$I$90</f>
        <v>1600000</v>
      </c>
      <c r="Q79" s="1073">
        <f>'MisC Cal-1'!$I$90</f>
        <v>1600000</v>
      </c>
      <c r="R79" s="1073">
        <f>'MisC Cal-1'!$I$90</f>
        <v>1600000</v>
      </c>
      <c r="S79" s="1073">
        <f>'MisC Cal-1'!$I$90</f>
        <v>1600000</v>
      </c>
      <c r="T79" s="777">
        <f>'MisC Cal-1'!$I$90</f>
        <v>1600000</v>
      </c>
      <c r="U79" s="777">
        <f>'MisC Cal-1'!$I$90</f>
        <v>1600000</v>
      </c>
      <c r="V79" s="777">
        <f>'MisC Cal-1'!$I$90</f>
        <v>1600000</v>
      </c>
    </row>
    <row r="80" spans="3:22" ht="15.75">
      <c r="F80" s="775" t="s">
        <v>727</v>
      </c>
      <c r="G80" s="782">
        <f>DATE(2023,7,1)</f>
        <v>45108</v>
      </c>
      <c r="H80" s="1273"/>
      <c r="I80" s="776">
        <f>IF($G$81&gt;=0,0,I72)</f>
        <v>0</v>
      </c>
      <c r="J80" s="776">
        <f t="shared" ref="J80:O80" si="23">IF($G$81&gt;=0,0,J72)</f>
        <v>0</v>
      </c>
      <c r="K80" s="776">
        <f t="shared" si="23"/>
        <v>0</v>
      </c>
      <c r="L80" s="776">
        <f t="shared" si="23"/>
        <v>0</v>
      </c>
      <c r="M80" s="776">
        <f t="shared" si="23"/>
        <v>0</v>
      </c>
      <c r="N80" s="776">
        <f t="shared" si="23"/>
        <v>0</v>
      </c>
      <c r="O80" s="776">
        <f t="shared" si="23"/>
        <v>0</v>
      </c>
      <c r="P80" s="776">
        <f>IF($G$77&gt;0,0,P72)</f>
        <v>450000</v>
      </c>
      <c r="Q80" s="1073">
        <f>IF($G$77&gt;0,0,Q72)</f>
        <v>450000</v>
      </c>
      <c r="R80" s="1073">
        <f t="shared" ref="R80:V80" si="24">IF($G$77&gt;0,0,R72)</f>
        <v>500000</v>
      </c>
      <c r="S80" s="1073">
        <f t="shared" si="24"/>
        <v>500000</v>
      </c>
      <c r="T80" s="777">
        <f t="shared" si="24"/>
        <v>500000</v>
      </c>
      <c r="U80" s="777">
        <f t="shared" si="24"/>
        <v>500000</v>
      </c>
      <c r="V80" s="777">
        <f t="shared" si="24"/>
        <v>500000</v>
      </c>
    </row>
    <row r="81" spans="3:22" ht="15.75">
      <c r="F81" s="775" t="s">
        <v>724</v>
      </c>
      <c r="G81" s="783">
        <f>G79-G80</f>
        <v>854</v>
      </c>
      <c r="H81" s="1273"/>
      <c r="I81" s="776">
        <f>I79-I80</f>
        <v>1600000</v>
      </c>
      <c r="J81" s="776">
        <f t="shared" ref="J81:O81" si="25">J79-J80</f>
        <v>1600000</v>
      </c>
      <c r="K81" s="776">
        <f t="shared" si="25"/>
        <v>1600000</v>
      </c>
      <c r="L81" s="776">
        <f t="shared" si="25"/>
        <v>1600000</v>
      </c>
      <c r="M81" s="776">
        <f t="shared" si="25"/>
        <v>1600000</v>
      </c>
      <c r="N81" s="776">
        <f t="shared" si="25"/>
        <v>1600000</v>
      </c>
      <c r="O81" s="776">
        <f t="shared" si="25"/>
        <v>1600000</v>
      </c>
      <c r="P81" s="776">
        <f>P79-P80</f>
        <v>1150000</v>
      </c>
      <c r="Q81" s="1073">
        <f>Q79-Q80</f>
        <v>1150000</v>
      </c>
      <c r="R81" s="1073">
        <f t="shared" ref="R81:V81" si="26">R79-R80</f>
        <v>1100000</v>
      </c>
      <c r="S81" s="1073">
        <f t="shared" si="26"/>
        <v>1100000</v>
      </c>
      <c r="T81" s="777">
        <f t="shared" si="26"/>
        <v>1100000</v>
      </c>
      <c r="U81" s="777">
        <f t="shared" si="26"/>
        <v>1100000</v>
      </c>
      <c r="V81" s="777">
        <f t="shared" si="26"/>
        <v>1100000</v>
      </c>
    </row>
    <row r="82" spans="3:22">
      <c r="G82" s="784" t="s">
        <v>730</v>
      </c>
      <c r="H82" s="785" cm="1">
        <f t="array" ref="H82">_xlfn.XLOOKUP(G4,_xlfn.ANCHORARRAY(I60),'MisC Cal-2'!I82:V82,0,1)</f>
        <v>0</v>
      </c>
      <c r="I82" s="786" t="str">
        <f>IF($G$81&gt;=0,"OLD 174",0)</f>
        <v>OLD 174</v>
      </c>
      <c r="J82" s="786" t="str">
        <f t="shared" ref="J82:O82" si="27">IF($G$81&gt;=0,"OLD 174",0)</f>
        <v>OLD 174</v>
      </c>
      <c r="K82" s="786" t="str">
        <f t="shared" si="27"/>
        <v>OLD 174</v>
      </c>
      <c r="L82" s="786" t="str">
        <f t="shared" si="27"/>
        <v>OLD 174</v>
      </c>
      <c r="M82" s="786" t="str">
        <f t="shared" si="27"/>
        <v>OLD 174</v>
      </c>
      <c r="N82" s="786" t="str">
        <f t="shared" si="27"/>
        <v>OLD 174</v>
      </c>
      <c r="O82" s="786" t="str">
        <f t="shared" si="27"/>
        <v>OLD 174</v>
      </c>
      <c r="P82" s="786">
        <f>IF($G$77&gt;=0,"New 174",0)</f>
        <v>0</v>
      </c>
      <c r="Q82" s="1014">
        <f t="shared" ref="Q82:V82" si="28">IF($G$77&gt;=0,"New 174",0)</f>
        <v>0</v>
      </c>
      <c r="R82" s="1014">
        <f t="shared" si="28"/>
        <v>0</v>
      </c>
      <c r="S82" s="1014">
        <f t="shared" si="28"/>
        <v>0</v>
      </c>
      <c r="T82" s="632">
        <f t="shared" si="28"/>
        <v>0</v>
      </c>
      <c r="U82" s="632">
        <f t="shared" si="28"/>
        <v>0</v>
      </c>
      <c r="V82" s="632">
        <f t="shared" si="28"/>
        <v>0</v>
      </c>
    </row>
    <row r="88" spans="3:22" ht="16.5">
      <c r="C88" s="787"/>
      <c r="D88" s="787"/>
      <c r="E88" s="781"/>
    </row>
    <row r="89" spans="3:22" ht="16.5">
      <c r="C89" s="744">
        <f>D61</f>
        <v>12152852</v>
      </c>
      <c r="D89" s="788">
        <f>D65</f>
        <v>148535.25</v>
      </c>
      <c r="E89" s="789" t="s">
        <v>483</v>
      </c>
      <c r="F89" s="789" t="s">
        <v>117</v>
      </c>
      <c r="G89" s="789" t="s">
        <v>484</v>
      </c>
      <c r="H89" s="502">
        <f>IF(D61&lt;=C91,H91,IF(D61&lt;=C92,H92,IF(D61&gt;C92,H94,0)))</f>
        <v>22280.287499999999</v>
      </c>
    </row>
    <row r="91" spans="3:22" ht="15.75">
      <c r="C91" s="790">
        <v>1000000</v>
      </c>
      <c r="D91" s="791">
        <f>D65</f>
        <v>148535.25</v>
      </c>
      <c r="E91" s="791">
        <f>D91</f>
        <v>148535.25</v>
      </c>
      <c r="F91" s="792">
        <v>0.15</v>
      </c>
      <c r="G91" s="791">
        <f t="shared" ref="G91:G95" si="29">MIN(D91:E91)*F91</f>
        <v>22280.287499999999</v>
      </c>
      <c r="H91" s="793">
        <f>G91</f>
        <v>22280.287499999999</v>
      </c>
    </row>
    <row r="92" spans="3:22" ht="15.75">
      <c r="C92" s="794">
        <v>3000000</v>
      </c>
      <c r="D92" s="795">
        <f>D65</f>
        <v>148535.25</v>
      </c>
      <c r="E92" s="795">
        <v>250000</v>
      </c>
      <c r="F92" s="796">
        <v>0.15</v>
      </c>
      <c r="G92" s="797">
        <f t="shared" si="29"/>
        <v>22280.287499999999</v>
      </c>
      <c r="H92" s="798">
        <f>SUM(G92:G93)</f>
        <v>22280.287499999999</v>
      </c>
    </row>
    <row r="93" spans="3:22" ht="15.75">
      <c r="C93" s="799" t="s">
        <v>50</v>
      </c>
      <c r="D93" s="800">
        <f>IF(D92&gt;E92,(D92-E92),0)</f>
        <v>0</v>
      </c>
      <c r="E93" s="801">
        <f>D93</f>
        <v>0</v>
      </c>
      <c r="F93" s="802">
        <v>0.12</v>
      </c>
      <c r="G93" s="803">
        <f t="shared" si="29"/>
        <v>0</v>
      </c>
      <c r="H93" s="804"/>
    </row>
    <row r="94" spans="3:22" ht="15.75">
      <c r="C94" s="805">
        <v>3000000</v>
      </c>
      <c r="D94" s="806">
        <f>D65</f>
        <v>148535.25</v>
      </c>
      <c r="E94" s="806">
        <v>250000</v>
      </c>
      <c r="F94" s="807">
        <v>0.15</v>
      </c>
      <c r="G94" s="808">
        <f t="shared" si="29"/>
        <v>22280.287499999999</v>
      </c>
      <c r="H94" s="809">
        <f>SUM(G94:G96)</f>
        <v>22280.287499999999</v>
      </c>
    </row>
    <row r="95" spans="3:22" ht="15.75">
      <c r="C95" s="810"/>
      <c r="D95" s="811">
        <f>IF(D94&gt;E94,(D94-E94),0)</f>
        <v>0</v>
      </c>
      <c r="E95" s="811">
        <v>500000</v>
      </c>
      <c r="F95" s="812">
        <v>0.12</v>
      </c>
      <c r="G95" s="808">
        <f t="shared" si="29"/>
        <v>0</v>
      </c>
    </row>
    <row r="96" spans="3:22" ht="15.75">
      <c r="C96" s="813" t="s">
        <v>50</v>
      </c>
      <c r="D96" s="814">
        <f>IF(D95&gt;E95,(D95-E95),0)</f>
        <v>0</v>
      </c>
      <c r="E96" s="814">
        <f>D96</f>
        <v>0</v>
      </c>
      <c r="F96" s="815">
        <v>0.1</v>
      </c>
      <c r="G96" s="816">
        <f>MIN(D96:E96)*F96</f>
        <v>0</v>
      </c>
    </row>
    <row r="98" spans="3:9" ht="16.5">
      <c r="C98" s="744">
        <f>D61</f>
        <v>12152852</v>
      </c>
      <c r="D98" s="788">
        <f>D65</f>
        <v>148535.25</v>
      </c>
      <c r="E98" s="789" t="s">
        <v>485</v>
      </c>
      <c r="F98" s="789" t="s">
        <v>75</v>
      </c>
      <c r="G98" s="789" t="s">
        <v>76</v>
      </c>
      <c r="H98" s="502">
        <f>IF(D61&lt;=C100,H100,IF(D61&gt;C100,H101,0))</f>
        <v>14853.525000000001</v>
      </c>
    </row>
    <row r="100" spans="3:9" ht="15.75">
      <c r="C100" s="790">
        <v>1500000</v>
      </c>
      <c r="D100" s="791">
        <f>D65</f>
        <v>148535.25</v>
      </c>
      <c r="E100" s="791">
        <f>D100</f>
        <v>148535.25</v>
      </c>
      <c r="F100" s="792">
        <v>0.15</v>
      </c>
      <c r="G100" s="791">
        <f>MIN(D100:E100)*F100</f>
        <v>22280.287499999999</v>
      </c>
      <c r="H100" s="793">
        <f>G100</f>
        <v>22280.287499999999</v>
      </c>
    </row>
    <row r="101" spans="3:9" ht="15.75">
      <c r="C101" s="817"/>
      <c r="D101" s="818">
        <f>D65</f>
        <v>148535.25</v>
      </c>
      <c r="E101" s="818">
        <f>D101</f>
        <v>148535.25</v>
      </c>
      <c r="F101" s="819">
        <v>0.1</v>
      </c>
      <c r="G101" s="818">
        <f>MIN(D101:E101)*F101</f>
        <v>14853.525000000001</v>
      </c>
      <c r="H101" s="820">
        <f>G101</f>
        <v>14853.525000000001</v>
      </c>
    </row>
    <row r="103" spans="3:9" ht="16.5">
      <c r="C103" s="744">
        <f>D61</f>
        <v>12152852</v>
      </c>
      <c r="D103" s="788">
        <f>D65</f>
        <v>148535.25</v>
      </c>
      <c r="E103" s="821"/>
      <c r="F103" s="822" t="s">
        <v>55</v>
      </c>
      <c r="G103" s="823"/>
      <c r="H103" s="502">
        <f>_xlfn.XLOOKUP(F108,G108:G110,H108:H110,0)</f>
        <v>22280.287499999999</v>
      </c>
      <c r="I103" s="824"/>
    </row>
    <row r="105" spans="3:9" ht="15.75">
      <c r="C105" s="790">
        <v>1500000</v>
      </c>
      <c r="D105" s="791">
        <f>D65</f>
        <v>148535.25</v>
      </c>
      <c r="E105" s="791">
        <f>D105</f>
        <v>148535.25</v>
      </c>
      <c r="F105" s="792">
        <v>0.15</v>
      </c>
      <c r="G105" s="791">
        <f>MIN(D105:E105)*F105</f>
        <v>22280.287499999999</v>
      </c>
      <c r="H105" s="793">
        <f>G105</f>
        <v>22280.287499999999</v>
      </c>
    </row>
    <row r="106" spans="3:9" ht="15.75">
      <c r="C106" s="825" t="s">
        <v>569</v>
      </c>
      <c r="D106" s="818">
        <f>D65</f>
        <v>148535.25</v>
      </c>
      <c r="E106" s="818">
        <f>D106</f>
        <v>148535.25</v>
      </c>
      <c r="F106" s="826">
        <v>7.4999999999999997E-2</v>
      </c>
      <c r="G106" s="818">
        <f>MIN(D106:E106)*F106</f>
        <v>11140.143749999999</v>
      </c>
      <c r="H106" s="820">
        <f>G106</f>
        <v>11140.143749999999</v>
      </c>
    </row>
    <row r="108" spans="3:9" ht="16.5">
      <c r="F108" s="827" t="str">
        <f>'Data Input'!D9</f>
        <v>স্বনির্ধারণী</v>
      </c>
      <c r="G108" s="828" t="str">
        <f>'MisC Intrst-3'!N32</f>
        <v>স্বনির্ধারণী</v>
      </c>
      <c r="H108" s="793">
        <f>$H$105</f>
        <v>22280.287499999999</v>
      </c>
    </row>
    <row r="109" spans="3:9" ht="15.75">
      <c r="G109" s="828" t="str">
        <f>'MisC Intrst-3'!N33</f>
        <v>নতুন করদাতা</v>
      </c>
      <c r="H109" s="793">
        <f t="shared" ref="H109" si="30">$H$105</f>
        <v>22280.287499999999</v>
      </c>
    </row>
    <row r="110" spans="3:9" ht="15.75">
      <c r="G110" s="828" t="str">
        <f>'MisC Intrst-3'!N34</f>
        <v>সাধারণ (বিলম্ব সুদ)</v>
      </c>
      <c r="H110" s="793">
        <f>H106</f>
        <v>11140.143749999999</v>
      </c>
    </row>
    <row r="111" spans="3:9" ht="15.75">
      <c r="G111" s="829"/>
      <c r="H111" s="830"/>
    </row>
    <row r="112" spans="3:9" ht="15.75">
      <c r="G112" s="829"/>
      <c r="H112" s="830"/>
    </row>
  </sheetData>
  <mergeCells count="4">
    <mergeCell ref="C60:D60"/>
    <mergeCell ref="C4:D4"/>
    <mergeCell ref="H75:H77"/>
    <mergeCell ref="H79:H81"/>
  </mergeCells>
  <phoneticPr fontId="2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AEAE-362B-488D-B10C-9BF6DA7DA016}">
  <sheetPr codeName="Sheet5">
    <tabColor rgb="FFCC0000"/>
  </sheetPr>
  <dimension ref="A1:AR43"/>
  <sheetViews>
    <sheetView showGridLines="0" workbookViewId="0">
      <selection activeCell="D4" sqref="D4"/>
    </sheetView>
  </sheetViews>
  <sheetFormatPr defaultRowHeight="12.75"/>
  <cols>
    <col min="1" max="1" width="11.140625" customWidth="1"/>
    <col min="2" max="2" width="12.42578125" customWidth="1"/>
    <col min="3" max="3" width="12.28515625" customWidth="1"/>
    <col min="4" max="4" width="12" customWidth="1"/>
    <col min="5" max="5" width="10.28515625" customWidth="1"/>
    <col min="6" max="6" width="12.5703125" customWidth="1"/>
    <col min="7" max="7" width="13.7109375" customWidth="1"/>
    <col min="8" max="8" width="10.5703125" customWidth="1"/>
    <col min="10" max="10" width="9.140625" customWidth="1"/>
    <col min="11" max="11" width="22.28515625" customWidth="1"/>
    <col min="12" max="12" width="14.5703125" customWidth="1"/>
    <col min="13" max="13" width="22.42578125" bestFit="1" customWidth="1"/>
    <col min="14" max="14" width="19" customWidth="1"/>
    <col min="15" max="15" width="13.85546875" customWidth="1"/>
    <col min="16" max="16" width="12.42578125" customWidth="1"/>
    <col min="17" max="17" width="13.140625" customWidth="1"/>
    <col min="18" max="18" width="13" customWidth="1"/>
    <col min="19" max="19" width="13.140625" customWidth="1"/>
    <col min="20" max="20" width="13.5703125" customWidth="1"/>
    <col min="21" max="21" width="12" customWidth="1"/>
    <col min="22" max="22" width="11.7109375" customWidth="1"/>
    <col min="23" max="23" width="12.140625" customWidth="1"/>
    <col min="24" max="24" width="10" customWidth="1"/>
    <col min="25" max="25" width="13.5703125" customWidth="1"/>
    <col min="26" max="26" width="11.140625" customWidth="1"/>
    <col min="28" max="28" width="11.140625" customWidth="1"/>
    <col min="32" max="32" width="9.7109375" customWidth="1"/>
    <col min="33" max="33" width="12.42578125" customWidth="1"/>
    <col min="34" max="34" width="12" bestFit="1" customWidth="1"/>
    <col min="35" max="35" width="10.140625" bestFit="1" customWidth="1"/>
    <col min="36" max="36" width="11.5703125" bestFit="1" customWidth="1"/>
    <col min="37" max="37" width="14" customWidth="1"/>
    <col min="38" max="38" width="11.28515625" customWidth="1"/>
    <col min="39" max="39" width="11.7109375" customWidth="1"/>
    <col min="40" max="40" width="7.7109375" customWidth="1"/>
    <col min="41" max="41" width="7.85546875" customWidth="1"/>
    <col min="44" max="44" width="11" customWidth="1"/>
  </cols>
  <sheetData>
    <row r="1" spans="1:44" ht="13.5" thickBot="1"/>
    <row r="2" spans="1:44" ht="13.5" thickBot="1">
      <c r="D2" s="1281" t="s">
        <v>807</v>
      </c>
      <c r="E2" s="1282"/>
      <c r="F2" s="1282"/>
      <c r="G2" s="1282"/>
      <c r="H2" s="1283"/>
      <c r="W2" s="831" t="s">
        <v>323</v>
      </c>
      <c r="X2" s="832">
        <f>DATE(2019,7,1)</f>
        <v>43647</v>
      </c>
    </row>
    <row r="3" spans="1:44">
      <c r="D3" s="1284"/>
      <c r="E3" s="1285"/>
      <c r="F3" s="1285"/>
      <c r="G3" s="1285"/>
      <c r="H3" s="1286"/>
      <c r="K3" s="833" t="s">
        <v>54</v>
      </c>
      <c r="L3" s="834" t="str">
        <f>'Data Input'!D4</f>
        <v>2025-26</v>
      </c>
      <c r="S3" s="1018"/>
    </row>
    <row r="4" spans="1:44">
      <c r="K4" s="835" t="s">
        <v>571</v>
      </c>
      <c r="L4" s="836">
        <f>'Data Input'!D5</f>
        <v>45962</v>
      </c>
      <c r="M4" s="837" t="s">
        <v>126</v>
      </c>
      <c r="N4" s="838">
        <f>_xlfn.XLOOKUP(L3,R10:R23,T10:T23,0)</f>
        <v>45838</v>
      </c>
      <c r="O4" s="839" t="s">
        <v>56</v>
      </c>
    </row>
    <row r="5" spans="1:44">
      <c r="K5" s="835" t="s">
        <v>572</v>
      </c>
      <c r="L5" s="836">
        <f>'Data Input'!F5</f>
        <v>46386</v>
      </c>
      <c r="M5" s="837" t="s">
        <v>80</v>
      </c>
      <c r="N5" s="838">
        <f>_xlfn.XLOOKUP(L3,R10:R23,S10:S23,0)</f>
        <v>45474</v>
      </c>
      <c r="O5" s="840" t="s">
        <v>65</v>
      </c>
    </row>
    <row r="6" spans="1:44" ht="15.75">
      <c r="B6" s="841" t="s">
        <v>51</v>
      </c>
      <c r="C6" s="842">
        <f>'Sheet of Calculation'!F44</f>
        <v>1463431.8405919699</v>
      </c>
      <c r="D6" s="843"/>
      <c r="E6" s="843"/>
      <c r="F6" s="843"/>
      <c r="G6" s="841" t="s">
        <v>49</v>
      </c>
      <c r="H6" s="564">
        <f>C6*0.75</f>
        <v>1097573.8804439774</v>
      </c>
      <c r="I6" s="843"/>
      <c r="J6" s="843"/>
      <c r="K6" s="835" t="s">
        <v>356</v>
      </c>
      <c r="L6" s="844">
        <f>O36</f>
        <v>45991</v>
      </c>
      <c r="M6" s="837" t="s">
        <v>52</v>
      </c>
      <c r="N6" s="845">
        <f>_xlfn.XLOOKUP(L3,R10:R23,U10:U23,0)</f>
        <v>45839</v>
      </c>
      <c r="O6" s="846">
        <f>(N7-N6)</f>
        <v>730</v>
      </c>
      <c r="R6" s="847">
        <v>10</v>
      </c>
      <c r="S6" s="847">
        <v>15</v>
      </c>
      <c r="T6" s="848" t="s">
        <v>239</v>
      </c>
      <c r="U6" s="849"/>
    </row>
    <row r="7" spans="1:44" ht="18" customHeight="1">
      <c r="B7" s="841" t="s">
        <v>147</v>
      </c>
      <c r="C7" s="842">
        <f>'Data Input'!F33+'Data Input'!F35+'Data Input'!F37+'Data Input'!E44+'Data Input'!E45</f>
        <v>739000</v>
      </c>
      <c r="D7" s="843"/>
      <c r="E7" s="843"/>
      <c r="F7" s="843"/>
      <c r="G7" s="841" t="str">
        <f>B7</f>
        <v>Source . tax</v>
      </c>
      <c r="H7" s="564">
        <f>C7</f>
        <v>739000</v>
      </c>
      <c r="I7" s="843"/>
      <c r="J7" s="843"/>
      <c r="M7" s="837" t="s">
        <v>53</v>
      </c>
      <c r="N7" s="838">
        <f>_xlfn.XLOOKUP(L3,R10:R23,AM10:AM23,0)</f>
        <v>46569</v>
      </c>
      <c r="O7" s="843"/>
      <c r="R7" s="850">
        <f>IF(R41="OLD 174",4,2)%</f>
        <v>0.02</v>
      </c>
      <c r="S7" s="850">
        <f>_xlfn.XLOOKUP(L3,R10:R23,AN10:AN23,0)%</f>
        <v>0.02</v>
      </c>
      <c r="T7" s="848" t="s">
        <v>240</v>
      </c>
      <c r="U7" s="849"/>
      <c r="Y7" s="851">
        <f>MIN(IF((($L$35-$L$34)/30)&lt;0,0,(($L$35-$L$34)/30)),12)</f>
        <v>0</v>
      </c>
      <c r="AK7" s="745">
        <f>IF($N$30=$N$34,$L$42,0)</f>
        <v>0</v>
      </c>
    </row>
    <row r="8" spans="1:44" ht="20.25" customHeight="1">
      <c r="B8" s="841" t="s">
        <v>145</v>
      </c>
      <c r="C8" s="842">
        <f>'Data Input'!E46</f>
        <v>0</v>
      </c>
      <c r="D8" s="843"/>
      <c r="E8" s="843"/>
      <c r="F8" s="843"/>
      <c r="G8" s="841" t="s">
        <v>50</v>
      </c>
      <c r="H8" s="852">
        <f>H6-H7</f>
        <v>358573.88044397742</v>
      </c>
      <c r="I8" s="853" t="s">
        <v>57</v>
      </c>
      <c r="J8" s="843"/>
      <c r="K8" s="843"/>
      <c r="L8" s="843"/>
      <c r="M8" s="837" t="s">
        <v>81</v>
      </c>
      <c r="N8" s="845">
        <f>_xlfn.XLOOKUP(L3,R10:R23,V10:V23,0)</f>
        <v>46203</v>
      </c>
      <c r="Y8" s="851">
        <f>ROUNDUP(MIN(IF((($L$35-$L$34)/30)&lt;0,0,(($L$35-$L$34)/30)),24),0)</f>
        <v>0</v>
      </c>
      <c r="Z8" s="721" t="s">
        <v>495</v>
      </c>
      <c r="AA8" s="1276" t="s">
        <v>496</v>
      </c>
      <c r="AB8" s="1277"/>
      <c r="AK8" s="745">
        <f>$L$42</f>
        <v>0</v>
      </c>
    </row>
    <row r="9" spans="1:44" ht="27.75" customHeight="1">
      <c r="A9" s="843"/>
      <c r="B9" s="843"/>
      <c r="C9" s="843"/>
      <c r="D9" s="843"/>
      <c r="E9" s="843"/>
      <c r="F9" s="462"/>
      <c r="G9" s="841" t="s">
        <v>146</v>
      </c>
      <c r="H9" s="846">
        <f>H8-C8</f>
        <v>358573.88044397742</v>
      </c>
      <c r="I9" s="853" t="s">
        <v>58</v>
      </c>
      <c r="J9" s="843"/>
      <c r="K9" s="854" t="s">
        <v>91</v>
      </c>
      <c r="L9" s="855">
        <f>IF((L4-L6)&gt;0,S6,R6)</f>
        <v>10</v>
      </c>
      <c r="M9" s="849" t="s">
        <v>92</v>
      </c>
      <c r="N9" s="843"/>
      <c r="R9" s="856" t="s">
        <v>322</v>
      </c>
      <c r="S9" s="857" t="s">
        <v>78</v>
      </c>
      <c r="T9" s="857" t="s">
        <v>127</v>
      </c>
      <c r="U9" s="857" t="s">
        <v>79</v>
      </c>
      <c r="V9" s="857" t="s">
        <v>81</v>
      </c>
      <c r="W9" s="858" t="s">
        <v>609</v>
      </c>
      <c r="X9" s="859" t="s">
        <v>493</v>
      </c>
      <c r="Y9" s="859" t="s">
        <v>228</v>
      </c>
      <c r="Z9" s="860" t="str">
        <f>'Data Input'!D8</f>
        <v>পুরুষ</v>
      </c>
      <c r="AA9" s="861" t="s">
        <v>497</v>
      </c>
      <c r="AB9" s="861" t="s">
        <v>567</v>
      </c>
      <c r="AC9" s="861" t="s">
        <v>498</v>
      </c>
      <c r="AD9" s="861" t="s">
        <v>499</v>
      </c>
      <c r="AE9" s="861" t="s">
        <v>500</v>
      </c>
      <c r="AF9" s="861" t="s">
        <v>610</v>
      </c>
      <c r="AG9" s="862" t="s">
        <v>356</v>
      </c>
      <c r="AH9" s="862" t="s">
        <v>611</v>
      </c>
      <c r="AI9" s="862" t="s">
        <v>604</v>
      </c>
      <c r="AJ9" s="862" t="s">
        <v>614</v>
      </c>
      <c r="AK9" s="862" t="s">
        <v>731</v>
      </c>
      <c r="AL9" s="862" t="s">
        <v>620</v>
      </c>
      <c r="AM9" s="862" t="s">
        <v>53</v>
      </c>
      <c r="AN9" s="1022" t="s">
        <v>795</v>
      </c>
      <c r="AO9" s="1023" t="s">
        <v>797</v>
      </c>
      <c r="AP9" s="1039" t="s">
        <v>803</v>
      </c>
      <c r="AQ9" s="1043" t="s">
        <v>804</v>
      </c>
      <c r="AR9" s="1043" t="s">
        <v>806</v>
      </c>
    </row>
    <row r="10" spans="1:44" ht="15.75">
      <c r="B10" s="1288" t="s">
        <v>492</v>
      </c>
      <c r="C10" s="1288"/>
      <c r="D10" s="983">
        <f>IF((L4-N6)&lt;0,0,((L4-N6)+1))</f>
        <v>124</v>
      </c>
      <c r="H10" s="843"/>
      <c r="R10" s="863" t="s">
        <v>483</v>
      </c>
      <c r="S10" s="864">
        <f>DATE(2015,7,1)</f>
        <v>42186</v>
      </c>
      <c r="T10" s="865">
        <f>S10+365</f>
        <v>42551</v>
      </c>
      <c r="U10" s="865">
        <f>T10+1</f>
        <v>42552</v>
      </c>
      <c r="V10" s="865">
        <f>U10+364</f>
        <v>42916</v>
      </c>
      <c r="W10" s="865">
        <f>U10+152</f>
        <v>42704</v>
      </c>
      <c r="X10" s="866">
        <f t="shared" ref="X10:X16" si="0">$R$7</f>
        <v>0.02</v>
      </c>
      <c r="Y10" s="851">
        <f>IF($R$41="OLD 174",$Y$8,$Y$7)</f>
        <v>0</v>
      </c>
      <c r="Z10" s="867" cm="1">
        <f t="array" ref="Z10:Z23">TRANSPOSE(_xlfn.ANCHORARRAY('MisC Cal-1'!C54))</f>
        <v>250000</v>
      </c>
      <c r="AA10" s="745">
        <v>400000</v>
      </c>
      <c r="AB10" s="868">
        <v>0.1</v>
      </c>
      <c r="AC10" s="745">
        <v>500000</v>
      </c>
      <c r="AD10" s="745">
        <v>600000</v>
      </c>
      <c r="AE10" s="745">
        <v>3000000</v>
      </c>
      <c r="AF10" s="869" t="s">
        <v>353</v>
      </c>
      <c r="AG10" s="870">
        <f>W10</f>
        <v>42704</v>
      </c>
      <c r="AH10" s="869" t="s">
        <v>353</v>
      </c>
      <c r="AI10" s="871">
        <f t="shared" ref="AI10:AI15" si="1">AG10</f>
        <v>42704</v>
      </c>
      <c r="AJ10" s="872">
        <f t="shared" ref="AJ10:AJ16" si="2">IF($R$41="OLD 174",$M$34,$L$33)</f>
        <v>724431.8405919699</v>
      </c>
      <c r="AK10" s="745">
        <f>IF($R$41="OLD 174",$AK$8,$AK$7)</f>
        <v>0</v>
      </c>
      <c r="AL10" s="786" t="s">
        <v>619</v>
      </c>
      <c r="AM10" s="1015">
        <f>U10+(365*2)</f>
        <v>43282</v>
      </c>
      <c r="AN10" s="1016">
        <v>4</v>
      </c>
      <c r="AO10" s="1019">
        <v>0</v>
      </c>
      <c r="AP10" s="1041" t="s">
        <v>501</v>
      </c>
      <c r="AQ10" s="1044">
        <f>('Sheet of Calculation'!$C$35)*('Sheet of Calculation'!$E$35)</f>
        <v>903088.75</v>
      </c>
      <c r="AR10" s="1056">
        <f>('MisC Cal-1'!$C$15)*('MisC Cal-1'!$E$15)</f>
        <v>1335124.25</v>
      </c>
    </row>
    <row r="11" spans="1:44" ht="15.75">
      <c r="B11" s="1287" t="s">
        <v>773</v>
      </c>
      <c r="C11" s="1287"/>
      <c r="D11" s="564">
        <f>IF(D10&gt;G12,G12,D10)</f>
        <v>124</v>
      </c>
      <c r="R11" s="873" t="s">
        <v>117</v>
      </c>
      <c r="S11" s="865">
        <f t="shared" ref="S11:S19" si="3">U10</f>
        <v>42552</v>
      </c>
      <c r="T11" s="865">
        <f>S11+364</f>
        <v>42916</v>
      </c>
      <c r="U11" s="865">
        <f t="shared" ref="U11:U23" si="4">T11+1</f>
        <v>42917</v>
      </c>
      <c r="V11" s="865">
        <f t="shared" ref="V11:V23" si="5">U11+364</f>
        <v>43281</v>
      </c>
      <c r="W11" s="865">
        <f t="shared" ref="W11:W23" si="6">U11+152</f>
        <v>43069</v>
      </c>
      <c r="X11" s="866">
        <f t="shared" si="0"/>
        <v>0.02</v>
      </c>
      <c r="Y11" s="851">
        <f t="shared" ref="Y11:Y16" si="7">IF($R$41="OLD 174",$Y$8,$Y$7)</f>
        <v>0</v>
      </c>
      <c r="Z11" s="867">
        <v>250000</v>
      </c>
      <c r="AA11" s="745">
        <v>400000</v>
      </c>
      <c r="AB11" s="868">
        <v>0.1</v>
      </c>
      <c r="AC11" s="745">
        <v>500000</v>
      </c>
      <c r="AD11" s="745">
        <v>600000</v>
      </c>
      <c r="AE11" s="745">
        <v>3000000</v>
      </c>
      <c r="AF11" s="869" t="s">
        <v>353</v>
      </c>
      <c r="AG11" s="870">
        <f t="shared" ref="AG11:AG23" si="8">W11</f>
        <v>43069</v>
      </c>
      <c r="AH11" s="869" t="s">
        <v>353</v>
      </c>
      <c r="AI11" s="871">
        <f t="shared" si="1"/>
        <v>43069</v>
      </c>
      <c r="AJ11" s="872">
        <f t="shared" si="2"/>
        <v>724431.8405919699</v>
      </c>
      <c r="AK11" s="745">
        <f t="shared" ref="AK11:AK16" si="9">IF($R$41="OLD 174",$AK$8,$AK$7)</f>
        <v>0</v>
      </c>
      <c r="AL11" s="786" t="s">
        <v>619</v>
      </c>
      <c r="AM11" s="1015">
        <f t="shared" ref="AM11:AM23" si="10">U11+(365*2)</f>
        <v>43647</v>
      </c>
      <c r="AN11" s="1016">
        <v>4</v>
      </c>
      <c r="AO11" s="1019">
        <v>0</v>
      </c>
      <c r="AP11" s="1041" t="s">
        <v>501</v>
      </c>
      <c r="AQ11" s="1044">
        <f>('Sheet of Calculation'!$C$35)*('Sheet of Calculation'!$E$35)</f>
        <v>903088.75</v>
      </c>
      <c r="AR11" s="1056">
        <f>('MisC Cal-1'!$C$15)*('MisC Cal-1'!$E$15)</f>
        <v>1335124.25</v>
      </c>
    </row>
    <row r="12" spans="1:44" ht="15.75">
      <c r="B12" s="1287" t="s">
        <v>772</v>
      </c>
      <c r="C12" s="1287"/>
      <c r="D12" s="564">
        <f>IF((L5-L4)&lt;0,0,(L5-L4))</f>
        <v>424</v>
      </c>
      <c r="E12" s="874"/>
      <c r="F12" s="875" t="s">
        <v>65</v>
      </c>
      <c r="G12" s="564">
        <f>O6</f>
        <v>730</v>
      </c>
      <c r="I12" s="876" t="s">
        <v>57</v>
      </c>
      <c r="J12" s="564">
        <f>IF(H8&gt;0,H8,0)</f>
        <v>358573.88044397742</v>
      </c>
      <c r="M12" s="23"/>
      <c r="R12" s="873" t="s">
        <v>484</v>
      </c>
      <c r="S12" s="865">
        <f t="shared" si="3"/>
        <v>42917</v>
      </c>
      <c r="T12" s="865">
        <f t="shared" ref="T12:T23" si="11">S12+364</f>
        <v>43281</v>
      </c>
      <c r="U12" s="865">
        <f t="shared" si="4"/>
        <v>43282</v>
      </c>
      <c r="V12" s="865">
        <f t="shared" si="5"/>
        <v>43646</v>
      </c>
      <c r="W12" s="865">
        <f t="shared" si="6"/>
        <v>43434</v>
      </c>
      <c r="X12" s="866">
        <f t="shared" si="0"/>
        <v>0.02</v>
      </c>
      <c r="Y12" s="851">
        <f t="shared" si="7"/>
        <v>0</v>
      </c>
      <c r="Z12" s="867">
        <v>250000</v>
      </c>
      <c r="AA12" s="745">
        <v>400000</v>
      </c>
      <c r="AB12" s="868">
        <v>0.1</v>
      </c>
      <c r="AC12" s="745">
        <v>500000</v>
      </c>
      <c r="AD12" s="745">
        <v>600000</v>
      </c>
      <c r="AE12" s="745">
        <v>3000000</v>
      </c>
      <c r="AF12" s="869" t="s">
        <v>353</v>
      </c>
      <c r="AG12" s="870">
        <f t="shared" si="8"/>
        <v>43434</v>
      </c>
      <c r="AH12" s="869" t="s">
        <v>353</v>
      </c>
      <c r="AI12" s="871">
        <f t="shared" si="1"/>
        <v>43434</v>
      </c>
      <c r="AJ12" s="872">
        <f t="shared" si="2"/>
        <v>724431.8405919699</v>
      </c>
      <c r="AK12" s="745">
        <f t="shared" si="9"/>
        <v>0</v>
      </c>
      <c r="AL12" s="786" t="s">
        <v>619</v>
      </c>
      <c r="AM12" s="1015">
        <f>U12+(365*2)+1</f>
        <v>44013</v>
      </c>
      <c r="AN12" s="1016">
        <v>4</v>
      </c>
      <c r="AO12" s="1019">
        <v>0</v>
      </c>
      <c r="AP12" s="1041" t="s">
        <v>501</v>
      </c>
      <c r="AQ12" s="1044">
        <f>('Sheet of Calculation'!$C$35)*('Sheet of Calculation'!$E$35)</f>
        <v>903088.75</v>
      </c>
      <c r="AR12" s="1056">
        <f>('MisC Cal-1'!$C$15)*('MisC Cal-1'!$E$15)</f>
        <v>1335124.25</v>
      </c>
    </row>
    <row r="13" spans="1:44" ht="15.75">
      <c r="B13" s="1280" t="s">
        <v>66</v>
      </c>
      <c r="C13" s="1280"/>
      <c r="D13" s="846">
        <f>SUM(D11:D12)</f>
        <v>548</v>
      </c>
      <c r="F13" s="984" t="s">
        <v>551</v>
      </c>
      <c r="G13" s="983">
        <f>IF(G12&gt;D11,G12-D11,0)</f>
        <v>606</v>
      </c>
      <c r="I13" s="876" t="s">
        <v>58</v>
      </c>
      <c r="J13" s="564">
        <f>IF(H9&gt;0,H9,0)</f>
        <v>358573.88044397742</v>
      </c>
      <c r="M13" s="23"/>
      <c r="N13" s="686"/>
      <c r="R13" s="873" t="s">
        <v>485</v>
      </c>
      <c r="S13" s="865">
        <f t="shared" si="3"/>
        <v>43282</v>
      </c>
      <c r="T13" s="865">
        <f t="shared" si="11"/>
        <v>43646</v>
      </c>
      <c r="U13" s="865">
        <f t="shared" si="4"/>
        <v>43647</v>
      </c>
      <c r="V13" s="865">
        <f>U13+365</f>
        <v>44012</v>
      </c>
      <c r="W13" s="865">
        <f t="shared" si="6"/>
        <v>43799</v>
      </c>
      <c r="X13" s="866">
        <f t="shared" si="0"/>
        <v>0.02</v>
      </c>
      <c r="Y13" s="851">
        <f t="shared" si="7"/>
        <v>0</v>
      </c>
      <c r="Z13" s="867">
        <v>250000</v>
      </c>
      <c r="AA13" s="745">
        <v>400000</v>
      </c>
      <c r="AB13" s="868">
        <v>0.1</v>
      </c>
      <c r="AC13" s="745">
        <v>500000</v>
      </c>
      <c r="AD13" s="745">
        <v>600000</v>
      </c>
      <c r="AE13" s="745">
        <v>3000000</v>
      </c>
      <c r="AF13" s="869" t="s">
        <v>353</v>
      </c>
      <c r="AG13" s="870">
        <f t="shared" si="8"/>
        <v>43799</v>
      </c>
      <c r="AH13" s="869" t="s">
        <v>353</v>
      </c>
      <c r="AI13" s="871">
        <f t="shared" si="1"/>
        <v>43799</v>
      </c>
      <c r="AJ13" s="872">
        <f t="shared" si="2"/>
        <v>724431.8405919699</v>
      </c>
      <c r="AK13" s="745">
        <f t="shared" si="9"/>
        <v>0</v>
      </c>
      <c r="AL13" s="786" t="s">
        <v>619</v>
      </c>
      <c r="AM13" s="1015">
        <f>U13+(365*2)+1</f>
        <v>44378</v>
      </c>
      <c r="AN13" s="1016">
        <v>4</v>
      </c>
      <c r="AO13" s="1019">
        <v>0</v>
      </c>
      <c r="AP13" s="1041" t="s">
        <v>501</v>
      </c>
      <c r="AQ13" s="1044">
        <f>('Sheet of Calculation'!$C$35)*('Sheet of Calculation'!$E$35)</f>
        <v>903088.75</v>
      </c>
      <c r="AR13" s="1056">
        <f>('MisC Cal-1'!$C$15)*('MisC Cal-1'!$E$15)</f>
        <v>1335124.25</v>
      </c>
    </row>
    <row r="14" spans="1:44" ht="15.75">
      <c r="B14" s="877" t="s">
        <v>61</v>
      </c>
      <c r="C14" s="878" t="s">
        <v>60</v>
      </c>
      <c r="D14" s="879">
        <f>((J12*J14)*L9%)/365</f>
        <v>12181.687993165262</v>
      </c>
      <c r="F14" s="876" t="s">
        <v>491</v>
      </c>
      <c r="G14" s="564">
        <f>IF(D13&gt;G12,G13,D12)</f>
        <v>424</v>
      </c>
      <c r="I14" s="876" t="s">
        <v>47</v>
      </c>
      <c r="J14" s="846">
        <f>D11</f>
        <v>124</v>
      </c>
      <c r="M14" s="23"/>
      <c r="N14" s="880"/>
      <c r="R14" s="873" t="s">
        <v>75</v>
      </c>
      <c r="S14" s="865">
        <f t="shared" si="3"/>
        <v>43647</v>
      </c>
      <c r="T14" s="865">
        <f>S14+365</f>
        <v>44012</v>
      </c>
      <c r="U14" s="865">
        <f t="shared" si="4"/>
        <v>44013</v>
      </c>
      <c r="V14" s="865">
        <f t="shared" si="5"/>
        <v>44377</v>
      </c>
      <c r="W14" s="865">
        <f t="shared" si="6"/>
        <v>44165</v>
      </c>
      <c r="X14" s="866">
        <f t="shared" si="0"/>
        <v>0.02</v>
      </c>
      <c r="Y14" s="851">
        <f t="shared" si="7"/>
        <v>0</v>
      </c>
      <c r="Z14" s="867">
        <v>300000</v>
      </c>
      <c r="AA14" s="745">
        <v>100000</v>
      </c>
      <c r="AB14" s="868">
        <v>0.05</v>
      </c>
      <c r="AC14" s="745">
        <v>300000</v>
      </c>
      <c r="AD14" s="745">
        <v>400000</v>
      </c>
      <c r="AE14" s="745">
        <v>500000</v>
      </c>
      <c r="AF14" s="869" t="s">
        <v>354</v>
      </c>
      <c r="AG14" s="870">
        <f>W14+31</f>
        <v>44196</v>
      </c>
      <c r="AH14" s="869" t="s">
        <v>354</v>
      </c>
      <c r="AI14" s="871">
        <f t="shared" si="1"/>
        <v>44196</v>
      </c>
      <c r="AJ14" s="872">
        <f t="shared" si="2"/>
        <v>724431.8405919699</v>
      </c>
      <c r="AK14" s="745">
        <f t="shared" si="9"/>
        <v>0</v>
      </c>
      <c r="AL14" s="786" t="s">
        <v>619</v>
      </c>
      <c r="AM14" s="1015">
        <f t="shared" si="10"/>
        <v>44743</v>
      </c>
      <c r="AN14" s="1016">
        <v>4</v>
      </c>
      <c r="AO14" s="1019">
        <v>0</v>
      </c>
      <c r="AP14" s="1041" t="s">
        <v>501</v>
      </c>
      <c r="AQ14" s="1044">
        <f>('Sheet of Calculation'!$C$35)*('Sheet of Calculation'!$E$35)</f>
        <v>903088.75</v>
      </c>
      <c r="AR14" s="1056">
        <f>('MisC Cal-1'!$C$15)*('MisC Cal-1'!$E$15)</f>
        <v>1335124.25</v>
      </c>
    </row>
    <row r="15" spans="1:44" ht="15.75">
      <c r="B15" s="881" t="s">
        <v>62</v>
      </c>
      <c r="C15" s="882" t="s">
        <v>59</v>
      </c>
      <c r="D15" s="883">
        <f>((J13*J15)*L9%)/365</f>
        <v>41653.513783081216</v>
      </c>
      <c r="I15" s="876" t="s">
        <v>48</v>
      </c>
      <c r="J15" s="846">
        <f>G14</f>
        <v>424</v>
      </c>
      <c r="N15" s="880"/>
      <c r="R15" s="873" t="s">
        <v>76</v>
      </c>
      <c r="S15" s="865">
        <f t="shared" si="3"/>
        <v>44013</v>
      </c>
      <c r="T15" s="865">
        <f t="shared" si="11"/>
        <v>44377</v>
      </c>
      <c r="U15" s="865">
        <f t="shared" si="4"/>
        <v>44378</v>
      </c>
      <c r="V15" s="865">
        <f t="shared" si="5"/>
        <v>44742</v>
      </c>
      <c r="W15" s="865">
        <f t="shared" si="6"/>
        <v>44530</v>
      </c>
      <c r="X15" s="866">
        <f t="shared" si="0"/>
        <v>0.02</v>
      </c>
      <c r="Y15" s="851">
        <f t="shared" si="7"/>
        <v>0</v>
      </c>
      <c r="Z15" s="867">
        <v>300000</v>
      </c>
      <c r="AA15" s="745">
        <v>100000</v>
      </c>
      <c r="AB15" s="868">
        <v>0.05</v>
      </c>
      <c r="AC15" s="745">
        <v>300000</v>
      </c>
      <c r="AD15" s="745">
        <v>400000</v>
      </c>
      <c r="AE15" s="745">
        <v>500000</v>
      </c>
      <c r="AF15" s="869" t="s">
        <v>354</v>
      </c>
      <c r="AG15" s="870">
        <f>W15+31</f>
        <v>44561</v>
      </c>
      <c r="AH15" s="869" t="s">
        <v>354</v>
      </c>
      <c r="AI15" s="871">
        <f t="shared" si="1"/>
        <v>44561</v>
      </c>
      <c r="AJ15" s="872">
        <f t="shared" si="2"/>
        <v>724431.8405919699</v>
      </c>
      <c r="AK15" s="745">
        <f t="shared" si="9"/>
        <v>0</v>
      </c>
      <c r="AL15" s="786" t="s">
        <v>619</v>
      </c>
      <c r="AM15" s="1015">
        <f t="shared" si="10"/>
        <v>45108</v>
      </c>
      <c r="AN15" s="1016">
        <v>4</v>
      </c>
      <c r="AO15" s="1019">
        <v>0</v>
      </c>
      <c r="AP15" s="1041" t="s">
        <v>501</v>
      </c>
      <c r="AQ15" s="1044">
        <f>('Sheet of Calculation'!$C$35)*('Sheet of Calculation'!$E$35)</f>
        <v>903088.75</v>
      </c>
      <c r="AR15" s="1056">
        <f>('MisC Cal-1'!$C$15)*('MisC Cal-1'!$E$15)</f>
        <v>1335124.25</v>
      </c>
    </row>
    <row r="16" spans="1:44" ht="15.75">
      <c r="B16" s="884" t="s">
        <v>63</v>
      </c>
      <c r="C16" s="885" t="s">
        <v>64</v>
      </c>
      <c r="D16" s="886">
        <f>SUM(D14:D15)</f>
        <v>53835.201776246482</v>
      </c>
      <c r="R16" s="873" t="s">
        <v>55</v>
      </c>
      <c r="S16" s="865">
        <f t="shared" si="3"/>
        <v>44378</v>
      </c>
      <c r="T16" s="865">
        <f t="shared" si="11"/>
        <v>44742</v>
      </c>
      <c r="U16" s="865">
        <f t="shared" si="4"/>
        <v>44743</v>
      </c>
      <c r="V16" s="865">
        <f t="shared" si="5"/>
        <v>45107</v>
      </c>
      <c r="W16" s="865">
        <f t="shared" si="6"/>
        <v>44895</v>
      </c>
      <c r="X16" s="866">
        <f t="shared" si="0"/>
        <v>0.02</v>
      </c>
      <c r="Y16" s="851">
        <f t="shared" si="7"/>
        <v>0</v>
      </c>
      <c r="Z16" s="867">
        <v>300000</v>
      </c>
      <c r="AA16" s="745">
        <v>100000</v>
      </c>
      <c r="AB16" s="868">
        <v>0.05</v>
      </c>
      <c r="AC16" s="745">
        <v>300000</v>
      </c>
      <c r="AD16" s="745">
        <v>400000</v>
      </c>
      <c r="AE16" s="745">
        <v>500000</v>
      </c>
      <c r="AF16" s="869" t="s">
        <v>607</v>
      </c>
      <c r="AG16" s="870">
        <f>W16+32</f>
        <v>44927</v>
      </c>
      <c r="AH16" s="869" t="s">
        <v>612</v>
      </c>
      <c r="AI16" s="871">
        <f>AG16+180</f>
        <v>45107</v>
      </c>
      <c r="AJ16" s="872">
        <f t="shared" si="2"/>
        <v>724431.8405919699</v>
      </c>
      <c r="AK16" s="745">
        <f t="shared" si="9"/>
        <v>0</v>
      </c>
      <c r="AL16" s="786" t="s">
        <v>619</v>
      </c>
      <c r="AM16" s="1015">
        <f>U16+(365*2)+1</f>
        <v>45474</v>
      </c>
      <c r="AN16" s="1016">
        <v>4</v>
      </c>
      <c r="AO16" s="1019">
        <v>0</v>
      </c>
      <c r="AP16" s="1041" t="s">
        <v>501</v>
      </c>
      <c r="AQ16" s="1044">
        <f>('Sheet of Calculation'!$C$35)*('Sheet of Calculation'!$E$35)</f>
        <v>903088.75</v>
      </c>
      <c r="AR16" s="1056">
        <f>('MisC Cal-1'!$C$15)*('MisC Cal-1'!$E$15)</f>
        <v>1335124.25</v>
      </c>
    </row>
    <row r="17" spans="2:44" ht="15.75">
      <c r="B17" s="887" t="s">
        <v>552</v>
      </c>
      <c r="C17" s="888">
        <f>IF((L4-N6)&lt;0,0,D16)</f>
        <v>53835.201776246482</v>
      </c>
      <c r="D17" s="888">
        <f>IF((L5-L4)&lt;0,0,C17)</f>
        <v>53835.201776246482</v>
      </c>
      <c r="R17" s="893" t="s">
        <v>77</v>
      </c>
      <c r="S17" s="1003">
        <f t="shared" si="3"/>
        <v>44743</v>
      </c>
      <c r="T17" s="1003">
        <f t="shared" si="11"/>
        <v>45107</v>
      </c>
      <c r="U17" s="1003">
        <f t="shared" si="4"/>
        <v>45108</v>
      </c>
      <c r="V17" s="1003">
        <f>U17+365</f>
        <v>45473</v>
      </c>
      <c r="W17" s="1003">
        <f t="shared" si="6"/>
        <v>45260</v>
      </c>
      <c r="X17" s="868">
        <f t="shared" ref="X17:X23" si="12">$S$7</f>
        <v>0.02</v>
      </c>
      <c r="Y17" s="1004">
        <f>$Y$8</f>
        <v>0</v>
      </c>
      <c r="Z17" s="1005">
        <v>350000</v>
      </c>
      <c r="AA17" s="745">
        <v>100000</v>
      </c>
      <c r="AB17" s="868">
        <v>0.05</v>
      </c>
      <c r="AC17" s="745">
        <v>300000</v>
      </c>
      <c r="AD17" s="745">
        <v>400000</v>
      </c>
      <c r="AE17" s="745">
        <v>500000</v>
      </c>
      <c r="AF17" s="869" t="s">
        <v>353</v>
      </c>
      <c r="AG17" s="870">
        <f>W17+62</f>
        <v>45322</v>
      </c>
      <c r="AH17" s="869" t="s">
        <v>612</v>
      </c>
      <c r="AI17" s="871">
        <f>AG17+151</f>
        <v>45473</v>
      </c>
      <c r="AJ17" s="872">
        <f t="shared" ref="AJ17:AJ23" si="13">$M$34</f>
        <v>724431.8405919699</v>
      </c>
      <c r="AK17" s="745">
        <f>$L$42</f>
        <v>0</v>
      </c>
      <c r="AL17" s="786" t="s">
        <v>618</v>
      </c>
      <c r="AM17" s="1003">
        <f>U17+(365*2)+1</f>
        <v>45839</v>
      </c>
      <c r="AN17" s="786">
        <v>4</v>
      </c>
      <c r="AO17" s="1019">
        <v>0</v>
      </c>
      <c r="AP17" s="1041" t="s">
        <v>501</v>
      </c>
      <c r="AQ17" s="1044">
        <f>('Sheet of Calculation'!$C$35)*('Sheet of Calculation'!$E$35)</f>
        <v>903088.75</v>
      </c>
      <c r="AR17" s="1056">
        <f>('MisC Cal-1'!$C$15)*('MisC Cal-1'!$E$15)</f>
        <v>1335124.25</v>
      </c>
    </row>
    <row r="18" spans="2:44" ht="15.75">
      <c r="B18" s="890" t="s">
        <v>552</v>
      </c>
      <c r="C18" s="891" t="s">
        <v>64</v>
      </c>
      <c r="D18" s="892">
        <f>D17</f>
        <v>53835.201776246482</v>
      </c>
      <c r="R18" s="893" t="s">
        <v>82</v>
      </c>
      <c r="S18" s="1006">
        <f t="shared" si="3"/>
        <v>45108</v>
      </c>
      <c r="T18" s="1006">
        <f>S18+365</f>
        <v>45473</v>
      </c>
      <c r="U18" s="1006">
        <f t="shared" si="4"/>
        <v>45474</v>
      </c>
      <c r="V18" s="1006">
        <f t="shared" si="5"/>
        <v>45838</v>
      </c>
      <c r="W18" s="1006">
        <f>U18+152+31</f>
        <v>45657</v>
      </c>
      <c r="X18" s="1007">
        <f t="shared" si="12"/>
        <v>0.02</v>
      </c>
      <c r="Y18" s="1008">
        <f>$Y$8</f>
        <v>0</v>
      </c>
      <c r="Z18" s="1009">
        <v>350000</v>
      </c>
      <c r="AA18" s="1010">
        <v>100000</v>
      </c>
      <c r="AB18" s="1007">
        <v>0.05</v>
      </c>
      <c r="AC18" s="1010">
        <v>400000</v>
      </c>
      <c r="AD18" s="1010">
        <v>500000</v>
      </c>
      <c r="AE18" s="1010">
        <v>500000</v>
      </c>
      <c r="AF18" s="1011" t="s">
        <v>353</v>
      </c>
      <c r="AG18" s="1006">
        <f t="shared" si="8"/>
        <v>45657</v>
      </c>
      <c r="AH18" s="1011" t="s">
        <v>612</v>
      </c>
      <c r="AI18" s="1012">
        <f>AG18+212</f>
        <v>45869</v>
      </c>
      <c r="AJ18" s="1013">
        <f t="shared" si="13"/>
        <v>724431.8405919699</v>
      </c>
      <c r="AK18" s="1010">
        <f>$L$42</f>
        <v>0</v>
      </c>
      <c r="AL18" s="1014" t="s">
        <v>618</v>
      </c>
      <c r="AM18" s="1006">
        <f t="shared" si="10"/>
        <v>46204</v>
      </c>
      <c r="AN18" s="786">
        <v>2</v>
      </c>
      <c r="AO18" s="1020">
        <f>$L$32</f>
        <v>739000</v>
      </c>
      <c r="AP18" s="1041" t="s">
        <v>501</v>
      </c>
      <c r="AQ18" s="1044">
        <f>('Sheet of Calculation'!$C$35)*('Sheet of Calculation'!$E$35)</f>
        <v>903088.75</v>
      </c>
      <c r="AR18" s="1056">
        <f>('MisC Cal-1'!$C$15)*('MisC Cal-1'!$E$15)</f>
        <v>1335124.25</v>
      </c>
    </row>
    <row r="19" spans="2:44" ht="15.75">
      <c r="R19" s="1001" t="s">
        <v>83</v>
      </c>
      <c r="S19" s="1006">
        <f t="shared" si="3"/>
        <v>45474</v>
      </c>
      <c r="T19" s="1006">
        <f t="shared" si="11"/>
        <v>45838</v>
      </c>
      <c r="U19" s="1006">
        <f t="shared" si="4"/>
        <v>45839</v>
      </c>
      <c r="V19" s="1006">
        <f t="shared" si="5"/>
        <v>46203</v>
      </c>
      <c r="W19" s="1006">
        <f t="shared" si="6"/>
        <v>45991</v>
      </c>
      <c r="X19" s="1007">
        <f t="shared" si="12"/>
        <v>0.02</v>
      </c>
      <c r="Y19" s="1008">
        <f t="shared" ref="Y19:Y23" si="14">$Y$8</f>
        <v>0</v>
      </c>
      <c r="Z19" s="1009">
        <v>350000</v>
      </c>
      <c r="AA19" s="1010">
        <v>100000</v>
      </c>
      <c r="AB19" s="1007">
        <v>0.05</v>
      </c>
      <c r="AC19" s="1010">
        <v>400000</v>
      </c>
      <c r="AD19" s="1010">
        <v>500000</v>
      </c>
      <c r="AE19" s="1010">
        <v>500000</v>
      </c>
      <c r="AF19" s="1011" t="s">
        <v>353</v>
      </c>
      <c r="AG19" s="1006">
        <f t="shared" si="8"/>
        <v>45991</v>
      </c>
      <c r="AH19" s="1011" t="s">
        <v>612</v>
      </c>
      <c r="AI19" s="1012">
        <f>AG19+212</f>
        <v>46203</v>
      </c>
      <c r="AJ19" s="1013">
        <f t="shared" si="13"/>
        <v>724431.8405919699</v>
      </c>
      <c r="AK19" s="1010">
        <f t="shared" ref="AK19:AK23" si="15">$L$42</f>
        <v>0</v>
      </c>
      <c r="AL19" s="1014" t="s">
        <v>618</v>
      </c>
      <c r="AM19" s="1006">
        <f t="shared" si="10"/>
        <v>46569</v>
      </c>
      <c r="AN19" s="786">
        <v>2</v>
      </c>
      <c r="AO19" s="1020">
        <f t="shared" ref="AO19:AO23" si="16">$L$32</f>
        <v>739000</v>
      </c>
      <c r="AP19" s="1040">
        <v>2000000</v>
      </c>
      <c r="AQ19" s="1046">
        <f>MIN('Sheet of Calculation'!C35:D35)*'Sheet of Calculation'!E35</f>
        <v>500000</v>
      </c>
      <c r="AR19" s="1057">
        <f>MIN('MisC Cal-1'!C15:D15)*'MisC Cal-1'!E15</f>
        <v>500000</v>
      </c>
    </row>
    <row r="20" spans="2:44" ht="15.75">
      <c r="R20" s="893" t="s">
        <v>487</v>
      </c>
      <c r="S20" s="894">
        <f t="shared" ref="S20:S23" si="17">U19</f>
        <v>45839</v>
      </c>
      <c r="T20" s="894">
        <f t="shared" si="11"/>
        <v>46203</v>
      </c>
      <c r="U20" s="894">
        <f t="shared" si="4"/>
        <v>46204</v>
      </c>
      <c r="V20" s="894">
        <f t="shared" si="5"/>
        <v>46568</v>
      </c>
      <c r="W20" s="894">
        <f t="shared" si="6"/>
        <v>46356</v>
      </c>
      <c r="X20" s="895">
        <f t="shared" si="12"/>
        <v>0.02</v>
      </c>
      <c r="Y20" s="896">
        <f t="shared" si="14"/>
        <v>0</v>
      </c>
      <c r="Z20" s="746">
        <v>375000</v>
      </c>
      <c r="AA20" s="746">
        <v>300000</v>
      </c>
      <c r="AB20" s="895">
        <v>0.1</v>
      </c>
      <c r="AC20" s="746">
        <v>400000</v>
      </c>
      <c r="AD20" s="746">
        <v>500000</v>
      </c>
      <c r="AE20" s="746">
        <v>2000000</v>
      </c>
      <c r="AF20" s="897" t="s">
        <v>353</v>
      </c>
      <c r="AG20" s="894">
        <f t="shared" si="8"/>
        <v>46356</v>
      </c>
      <c r="AH20" s="897" t="s">
        <v>612</v>
      </c>
      <c r="AI20" s="898">
        <f>AG20+212</f>
        <v>46568</v>
      </c>
      <c r="AJ20" s="899">
        <f t="shared" si="13"/>
        <v>724431.8405919699</v>
      </c>
      <c r="AK20" s="746">
        <f t="shared" si="15"/>
        <v>0</v>
      </c>
      <c r="AL20" s="632" t="s">
        <v>618</v>
      </c>
      <c r="AM20" s="894">
        <f>U20+(365*2)+1</f>
        <v>46935</v>
      </c>
      <c r="AN20" s="786">
        <v>2</v>
      </c>
      <c r="AO20" s="1020">
        <f t="shared" si="16"/>
        <v>739000</v>
      </c>
      <c r="AP20" s="1041" t="s">
        <v>501</v>
      </c>
      <c r="AQ20" s="1044">
        <f>('Sheet of Calculation'!$C$35)*('Sheet of Calculation'!$E$35)</f>
        <v>903088.75</v>
      </c>
      <c r="AR20" s="1056">
        <f>('MisC Cal-1'!$C$15)*('MisC Cal-1'!$E$15)</f>
        <v>1335124.25</v>
      </c>
    </row>
    <row r="21" spans="2:44" ht="15.75">
      <c r="K21" s="900" t="s">
        <v>118</v>
      </c>
      <c r="L21" s="836">
        <f>'Data Input'!F5</f>
        <v>46386</v>
      </c>
      <c r="R21" s="893" t="s">
        <v>488</v>
      </c>
      <c r="S21" s="894">
        <f t="shared" si="17"/>
        <v>46204</v>
      </c>
      <c r="T21" s="894">
        <f t="shared" si="11"/>
        <v>46568</v>
      </c>
      <c r="U21" s="894">
        <f t="shared" si="4"/>
        <v>46569</v>
      </c>
      <c r="V21" s="894">
        <f t="shared" si="5"/>
        <v>46933</v>
      </c>
      <c r="W21" s="894">
        <f t="shared" si="6"/>
        <v>46721</v>
      </c>
      <c r="X21" s="895">
        <f t="shared" si="12"/>
        <v>0.02</v>
      </c>
      <c r="Y21" s="896">
        <f t="shared" si="14"/>
        <v>0</v>
      </c>
      <c r="Z21" s="746">
        <v>375000</v>
      </c>
      <c r="AA21" s="746">
        <v>300000</v>
      </c>
      <c r="AB21" s="895">
        <v>0.1</v>
      </c>
      <c r="AC21" s="746">
        <v>400000</v>
      </c>
      <c r="AD21" s="746">
        <v>500000</v>
      </c>
      <c r="AE21" s="746">
        <v>2000000</v>
      </c>
      <c r="AF21" s="897" t="s">
        <v>353</v>
      </c>
      <c r="AG21" s="894">
        <f t="shared" si="8"/>
        <v>46721</v>
      </c>
      <c r="AH21" s="897" t="s">
        <v>612</v>
      </c>
      <c r="AI21" s="898">
        <f>AG21+213</f>
        <v>46934</v>
      </c>
      <c r="AJ21" s="899">
        <f t="shared" si="13"/>
        <v>724431.8405919699</v>
      </c>
      <c r="AK21" s="746">
        <f t="shared" si="15"/>
        <v>0</v>
      </c>
      <c r="AL21" s="632" t="s">
        <v>618</v>
      </c>
      <c r="AM21" s="894">
        <f>U21+(365*2)+1</f>
        <v>47300</v>
      </c>
      <c r="AN21" s="1017">
        <v>2</v>
      </c>
      <c r="AO21" s="1021">
        <f t="shared" si="16"/>
        <v>739000</v>
      </c>
      <c r="AP21" s="1042" t="s">
        <v>501</v>
      </c>
      <c r="AQ21" s="1044">
        <f>('Sheet of Calculation'!$C$35)*('Sheet of Calculation'!$E$35)</f>
        <v>903088.75</v>
      </c>
      <c r="AR21" s="1056">
        <f>('MisC Cal-1'!$C$15)*('MisC Cal-1'!$E$15)</f>
        <v>1335124.25</v>
      </c>
    </row>
    <row r="22" spans="2:44" ht="15.75">
      <c r="R22" s="893" t="s">
        <v>489</v>
      </c>
      <c r="S22" s="894">
        <f t="shared" si="17"/>
        <v>46569</v>
      </c>
      <c r="T22" s="894">
        <f>S22+365</f>
        <v>46934</v>
      </c>
      <c r="U22" s="894">
        <f t="shared" si="4"/>
        <v>46935</v>
      </c>
      <c r="V22" s="894">
        <f t="shared" si="5"/>
        <v>47299</v>
      </c>
      <c r="W22" s="894">
        <f t="shared" si="6"/>
        <v>47087</v>
      </c>
      <c r="X22" s="895">
        <f t="shared" si="12"/>
        <v>0.02</v>
      </c>
      <c r="Y22" s="896">
        <f t="shared" si="14"/>
        <v>0</v>
      </c>
      <c r="Z22" s="746">
        <v>375000</v>
      </c>
      <c r="AA22" s="746">
        <v>300000</v>
      </c>
      <c r="AB22" s="895">
        <v>0.1</v>
      </c>
      <c r="AC22" s="746">
        <v>400000</v>
      </c>
      <c r="AD22" s="746">
        <v>500000</v>
      </c>
      <c r="AE22" s="746">
        <v>2000000</v>
      </c>
      <c r="AF22" s="897" t="s">
        <v>353</v>
      </c>
      <c r="AG22" s="894">
        <f t="shared" si="8"/>
        <v>47087</v>
      </c>
      <c r="AH22" s="897" t="s">
        <v>612</v>
      </c>
      <c r="AI22" s="898">
        <f>AG22+212</f>
        <v>47299</v>
      </c>
      <c r="AJ22" s="899">
        <f t="shared" si="13"/>
        <v>724431.8405919699</v>
      </c>
      <c r="AK22" s="746">
        <f t="shared" si="15"/>
        <v>0</v>
      </c>
      <c r="AL22" s="632" t="s">
        <v>618</v>
      </c>
      <c r="AM22" s="894">
        <f t="shared" si="10"/>
        <v>47665</v>
      </c>
      <c r="AN22" s="1017">
        <v>2</v>
      </c>
      <c r="AO22" s="1021">
        <f t="shared" si="16"/>
        <v>739000</v>
      </c>
      <c r="AP22" s="1042" t="s">
        <v>501</v>
      </c>
      <c r="AQ22" s="1044">
        <f>('Sheet of Calculation'!$C$35)*('Sheet of Calculation'!$E$35)</f>
        <v>903088.75</v>
      </c>
      <c r="AR22" s="1056">
        <f>('MisC Cal-1'!$C$15)*('MisC Cal-1'!$E$15)</f>
        <v>1335124.25</v>
      </c>
    </row>
    <row r="23" spans="2:44" ht="15.75">
      <c r="R23" s="901" t="s">
        <v>490</v>
      </c>
      <c r="S23" s="894">
        <f t="shared" si="17"/>
        <v>46935</v>
      </c>
      <c r="T23" s="894">
        <f t="shared" si="11"/>
        <v>47299</v>
      </c>
      <c r="U23" s="894">
        <f t="shared" si="4"/>
        <v>47300</v>
      </c>
      <c r="V23" s="894">
        <f t="shared" si="5"/>
        <v>47664</v>
      </c>
      <c r="W23" s="894">
        <f t="shared" si="6"/>
        <v>47452</v>
      </c>
      <c r="X23" s="895">
        <f t="shared" si="12"/>
        <v>0.02</v>
      </c>
      <c r="Y23" s="896">
        <f t="shared" si="14"/>
        <v>0</v>
      </c>
      <c r="Z23" s="746">
        <v>375000</v>
      </c>
      <c r="AA23" s="746">
        <v>300000</v>
      </c>
      <c r="AB23" s="895">
        <v>0.1</v>
      </c>
      <c r="AC23" s="746">
        <v>400000</v>
      </c>
      <c r="AD23" s="746">
        <v>500000</v>
      </c>
      <c r="AE23" s="746">
        <v>2000000</v>
      </c>
      <c r="AF23" s="897" t="s">
        <v>353</v>
      </c>
      <c r="AG23" s="894">
        <f t="shared" si="8"/>
        <v>47452</v>
      </c>
      <c r="AH23" s="897" t="s">
        <v>612</v>
      </c>
      <c r="AI23" s="898">
        <f>AG23+212</f>
        <v>47664</v>
      </c>
      <c r="AJ23" s="899">
        <f t="shared" si="13"/>
        <v>724431.8405919699</v>
      </c>
      <c r="AK23" s="746">
        <f t="shared" si="15"/>
        <v>0</v>
      </c>
      <c r="AL23" s="632" t="s">
        <v>618</v>
      </c>
      <c r="AM23" s="894">
        <f t="shared" si="10"/>
        <v>48030</v>
      </c>
      <c r="AN23" s="1017">
        <v>2</v>
      </c>
      <c r="AO23" s="1021">
        <f t="shared" si="16"/>
        <v>739000</v>
      </c>
      <c r="AP23" s="1042" t="s">
        <v>501</v>
      </c>
      <c r="AQ23" s="1044">
        <f>('Sheet of Calculation'!$C$35)*('Sheet of Calculation'!$E$35)</f>
        <v>903088.75</v>
      </c>
      <c r="AR23" s="1056">
        <f>('MisC Cal-1'!$C$15)*('MisC Cal-1'!$E$15)</f>
        <v>1335124.25</v>
      </c>
    </row>
    <row r="24" spans="2:44" ht="18">
      <c r="J24" s="902"/>
      <c r="K24" s="903" t="s">
        <v>231</v>
      </c>
      <c r="L24" s="904">
        <f>IF(AND(L21&gt;=U14,L21&lt;=V14),R14,IF(AND(L21&gt;=U15,L21&lt;=V15),R15,IF(AND(L21&gt;=U16,L21&lt;=V16),R16,IF(AND(L21&gt;=U17,L21&lt;=V17),R17,IF(AND(L21&gt;=U18,L21&lt;=V18),R18,IF(AND(L21&gt;=U19,L21&lt;=V19),R19,0))))))</f>
        <v>0</v>
      </c>
      <c r="N24" s="843"/>
    </row>
    <row r="26" spans="2:44">
      <c r="K26" s="905" t="s">
        <v>170</v>
      </c>
      <c r="L26" s="906">
        <f>L5+'Data Input'!I51</f>
        <v>46408</v>
      </c>
    </row>
    <row r="27" spans="2:44">
      <c r="K27" s="905" t="s">
        <v>166</v>
      </c>
      <c r="L27" s="906">
        <f>L5+'Data Input'!K51</f>
        <v>46413</v>
      </c>
    </row>
    <row r="30" spans="2:44" ht="18">
      <c r="K30" s="907" t="s">
        <v>553</v>
      </c>
      <c r="L30" s="908">
        <f>_xlfn.XLOOKUP(L3,R10:R23,X10:X23,0)</f>
        <v>0.02</v>
      </c>
      <c r="M30" s="909" t="s">
        <v>796</v>
      </c>
      <c r="N30" s="910" t="str">
        <f>'Data Input'!D9</f>
        <v>স্বনির্ধারণী</v>
      </c>
      <c r="O30" s="911">
        <f>_xlfn.XLOOKUP(N30,N32:N34,P32:P34,0)</f>
        <v>45991</v>
      </c>
      <c r="Q30" s="1278" t="s">
        <v>230</v>
      </c>
      <c r="R30" s="1279"/>
      <c r="S30" s="912">
        <f>'MisC Intrst-3'!L43</f>
        <v>0</v>
      </c>
      <c r="T30" s="913" t="s">
        <v>617</v>
      </c>
    </row>
    <row r="31" spans="2:44" ht="16.5">
      <c r="K31" s="784" t="s">
        <v>225</v>
      </c>
      <c r="L31" s="914">
        <f>'Sheet of Calculation'!F44</f>
        <v>1463431.8405919699</v>
      </c>
      <c r="M31" s="914">
        <f>'Sheet of Calculation'!F44+'Sheet of Calculation'!F47</f>
        <v>1517267.0423682164</v>
      </c>
      <c r="N31" s="915" t="s">
        <v>224</v>
      </c>
      <c r="O31" s="916" t="str">
        <f>_xlfn.XLOOKUP(N30,N32:N34,O32:O34,0)</f>
        <v>৩০ নভেম্বর</v>
      </c>
      <c r="Q31" s="917"/>
      <c r="R31" s="918" t="str">
        <f>"( wej¤^ my` = "&amp;'MisC Intrst-3'!L43&amp;"/- UvKv ) BZ¨vw` "</f>
        <v xml:space="preserve">( wej¤^ my` = 0/- UvKv ) BZ¨vw` </v>
      </c>
      <c r="S31" s="919"/>
      <c r="T31" s="920" t="s">
        <v>616</v>
      </c>
    </row>
    <row r="32" spans="2:44" ht="16.5">
      <c r="K32" s="784" t="s">
        <v>226</v>
      </c>
      <c r="L32" s="914">
        <f>'Sheet of Calculation'!C47+'Sheet of Calculation'!C48+'Sheet of Calculation'!C49</f>
        <v>739000</v>
      </c>
      <c r="M32" s="1024">
        <f>_xlfn.XLOOKUP(L3,R10:R23,AO10:AO23,0)</f>
        <v>739000</v>
      </c>
      <c r="N32" s="921" t="s">
        <v>608</v>
      </c>
      <c r="O32" s="922" t="str">
        <f>_xlfn.XLOOKUP(L3,R10:R23,AF10:AF23,0)</f>
        <v>৩০ নভেম্বর</v>
      </c>
      <c r="P32" s="894">
        <f>_xlfn.XLOOKUP(L3,R10:R23,AG10:AG23,0)</f>
        <v>45991</v>
      </c>
      <c r="Q32" s="923"/>
      <c r="R32" s="924" t="str">
        <f>IF(S30&gt;0,R31,T30)</f>
        <v xml:space="preserve"> </v>
      </c>
      <c r="S32" s="925"/>
      <c r="T32" s="846" t="str">
        <f>IF(M37=M33,T31,T30)</f>
        <v xml:space="preserve"> </v>
      </c>
    </row>
    <row r="33" spans="6:18" ht="18" customHeight="1">
      <c r="K33" s="784" t="s">
        <v>469</v>
      </c>
      <c r="L33" s="926">
        <f>L31-L32</f>
        <v>724431.8405919699</v>
      </c>
      <c r="M33" s="914">
        <f>M31-M32</f>
        <v>778267.04236821644</v>
      </c>
      <c r="N33" s="921" t="s">
        <v>603</v>
      </c>
      <c r="O33" s="927" t="str">
        <f>_xlfn.XLOOKUP(L3,R10:R23,AH10:AH23,0)</f>
        <v>৩০ জুন</v>
      </c>
      <c r="P33" s="894">
        <f>_xlfn.XLOOKUP(L3,R10:R23,AI10:AI23,0)</f>
        <v>46203</v>
      </c>
    </row>
    <row r="34" spans="6:18" ht="15.75" customHeight="1">
      <c r="F34" s="23"/>
      <c r="K34" s="928" t="s">
        <v>356</v>
      </c>
      <c r="L34" s="889">
        <f>O30</f>
        <v>45991</v>
      </c>
      <c r="M34" s="929">
        <f>IF(O41&gt;0,M33,L33)</f>
        <v>724431.8405919699</v>
      </c>
      <c r="N34" s="921" t="s">
        <v>722</v>
      </c>
      <c r="O34" s="927" t="str">
        <f>_xlfn.XLOOKUP(L3,R10:R23,AF10:AF23,0)</f>
        <v>৩০ নভেম্বর</v>
      </c>
      <c r="P34" s="894">
        <f>_xlfn.XLOOKUP(L3,R10:R23,AG10:AG23,0)</f>
        <v>45991</v>
      </c>
    </row>
    <row r="35" spans="6:18" ht="21">
      <c r="K35" s="930" t="s">
        <v>227</v>
      </c>
      <c r="L35" s="931">
        <f>'Data Input'!D5</f>
        <v>45962</v>
      </c>
      <c r="M35" s="932" t="s">
        <v>494</v>
      </c>
      <c r="N35" s="933" t="s">
        <v>355</v>
      </c>
      <c r="O35" s="934">
        <f>_xlfn.XLOOKUP(L3,R10:R23,W10:W23,0)</f>
        <v>45991</v>
      </c>
    </row>
    <row r="36" spans="6:18" ht="16.5" thickBot="1">
      <c r="F36" s="843"/>
      <c r="K36" s="784" t="s">
        <v>228</v>
      </c>
      <c r="L36" s="935">
        <f>MIN(IF(((L35-L34)/30)&lt;0,0,((L35-L34)/30)),12)</f>
        <v>0</v>
      </c>
      <c r="M36" s="936">
        <f>_xlfn.XLOOKUP(L3,R10:R23,Y10:Y23,0)</f>
        <v>0</v>
      </c>
      <c r="N36" s="875" t="s">
        <v>356</v>
      </c>
      <c r="O36" s="889">
        <f>O30</f>
        <v>45991</v>
      </c>
    </row>
    <row r="37" spans="6:18" ht="17.25" thickBot="1">
      <c r="K37" s="784" t="s">
        <v>229</v>
      </c>
      <c r="L37" s="937">
        <f>M37*L30*M36</f>
        <v>0</v>
      </c>
      <c r="M37" s="938">
        <f>_xlfn.XLOOKUP(L3,R10:R23,AJ10:AJ23,0)</f>
        <v>724431.8405919699</v>
      </c>
      <c r="N37" s="939" t="s">
        <v>606</v>
      </c>
      <c r="O37" s="894">
        <f>O35+120</f>
        <v>46111</v>
      </c>
    </row>
    <row r="38" spans="6:18" ht="15.75">
      <c r="K38" s="784" t="s">
        <v>230</v>
      </c>
      <c r="L38" s="914">
        <f>ROUND(L37,0)</f>
        <v>0</v>
      </c>
      <c r="Q38" s="940" t="s">
        <v>227</v>
      </c>
      <c r="R38" s="941">
        <f>'Data Input'!D5</f>
        <v>45962</v>
      </c>
    </row>
    <row r="39" spans="6:18" ht="17.25" customHeight="1">
      <c r="K39" s="942" t="s">
        <v>723</v>
      </c>
      <c r="L39" s="943">
        <f>IF(L38&gt;0,L38,0)</f>
        <v>0</v>
      </c>
      <c r="N39" s="778" t="s">
        <v>356</v>
      </c>
      <c r="O39" s="889">
        <f>O30</f>
        <v>45991</v>
      </c>
      <c r="Q39" s="940" t="s">
        <v>726</v>
      </c>
      <c r="R39" s="941">
        <f>DATE(2023,7,1)</f>
        <v>45108</v>
      </c>
    </row>
    <row r="40" spans="6:18" ht="15.75" customHeight="1">
      <c r="K40" s="1274" t="s">
        <v>555</v>
      </c>
      <c r="L40" s="1275"/>
      <c r="N40" s="778" t="s">
        <v>227</v>
      </c>
      <c r="O40" s="889">
        <f>'Data Input'!D5</f>
        <v>45962</v>
      </c>
      <c r="Q40" s="940" t="s">
        <v>724</v>
      </c>
      <c r="R40" s="944">
        <f>R38-R39</f>
        <v>854</v>
      </c>
    </row>
    <row r="41" spans="6:18" ht="15.75" customHeight="1">
      <c r="K41" s="945">
        <f>IF((L4-N6)&lt;0,0,L39)</f>
        <v>0</v>
      </c>
      <c r="L41" s="946">
        <f>IF((L5-L4)&lt;0,0,K41)</f>
        <v>0</v>
      </c>
      <c r="N41" s="947" t="s">
        <v>469</v>
      </c>
      <c r="O41" s="944">
        <f>O40-O39</f>
        <v>-29</v>
      </c>
      <c r="R41" s="785">
        <f>'MisC Cal-2'!H82</f>
        <v>0</v>
      </c>
    </row>
    <row r="42" spans="6:18" ht="15.75" customHeight="1">
      <c r="K42" s="948" t="s">
        <v>554</v>
      </c>
      <c r="L42" s="949">
        <f>L41</f>
        <v>0</v>
      </c>
    </row>
    <row r="43" spans="6:18" ht="15.75">
      <c r="K43" s="950" t="s">
        <v>738</v>
      </c>
      <c r="L43" s="951">
        <f>_xlfn.XLOOKUP(L3,R10:R23,AK10:AK23,0)</f>
        <v>0</v>
      </c>
    </row>
  </sheetData>
  <mergeCells count="8">
    <mergeCell ref="K40:L40"/>
    <mergeCell ref="AA8:AB8"/>
    <mergeCell ref="Q30:R30"/>
    <mergeCell ref="B13:C13"/>
    <mergeCell ref="D2:H3"/>
    <mergeCell ref="B11:C11"/>
    <mergeCell ref="B12:C12"/>
    <mergeCell ref="B10:C10"/>
  </mergeCells>
  <phoneticPr fontId="2" type="noConversion"/>
  <pageMargins left="0.7" right="0.7" top="0.75" bottom="0.75" header="0.3" footer="0.3"/>
  <ignoredErrors>
    <ignoredError sqref="AI21 AQ19:AR19" formula="1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FF0000"/>
  </sheetPr>
  <dimension ref="B6:J40"/>
  <sheetViews>
    <sheetView topLeftCell="A4" workbookViewId="0">
      <selection activeCell="I8" sqref="I8"/>
    </sheetView>
  </sheetViews>
  <sheetFormatPr defaultRowHeight="12.75"/>
  <cols>
    <col min="1" max="1" width="2.28515625" customWidth="1"/>
    <col min="2" max="2" width="5.7109375" customWidth="1"/>
    <col min="3" max="3" width="18.85546875" customWidth="1"/>
    <col min="4" max="4" width="3.85546875" customWidth="1"/>
    <col min="5" max="5" width="13.28515625" customWidth="1"/>
    <col min="6" max="6" width="5.7109375" customWidth="1"/>
    <col min="7" max="7" width="19.28515625" customWidth="1"/>
    <col min="8" max="8" width="4.28515625" customWidth="1"/>
    <col min="9" max="9" width="13.5703125" customWidth="1"/>
  </cols>
  <sheetData>
    <row r="6" spans="2:10">
      <c r="B6" s="1292" t="e">
        <f>#REF!</f>
        <v>#REF!</v>
      </c>
      <c r="C6" s="1292"/>
      <c r="D6" s="1292"/>
      <c r="E6" s="1292"/>
      <c r="F6" s="1292"/>
      <c r="G6" s="1292"/>
      <c r="J6" s="2"/>
    </row>
    <row r="7" spans="2:10">
      <c r="B7" s="1293" t="e">
        <f>#REF!</f>
        <v>#REF!</v>
      </c>
      <c r="C7" s="1292"/>
      <c r="D7" s="1292"/>
      <c r="E7" s="1292"/>
      <c r="F7" s="1292"/>
      <c r="G7" s="1292"/>
      <c r="H7" s="1292"/>
      <c r="I7" s="1292"/>
      <c r="J7" s="2"/>
    </row>
    <row r="8" spans="2:10">
      <c r="B8" s="1292" t="e">
        <f>#REF!</f>
        <v>#REF!</v>
      </c>
      <c r="C8" s="1292"/>
      <c r="D8" s="1292"/>
      <c r="E8" s="1292"/>
      <c r="F8" s="1292"/>
      <c r="G8" s="1292"/>
      <c r="J8" s="2"/>
    </row>
    <row r="9" spans="2:10">
      <c r="B9" s="1292" t="e">
        <f>#REF!</f>
        <v>#REF!</v>
      </c>
      <c r="C9" s="1292"/>
      <c r="D9" s="1292"/>
      <c r="E9" s="1292"/>
      <c r="F9" s="1292"/>
      <c r="G9" s="1292"/>
      <c r="J9" s="2"/>
    </row>
    <row r="10" spans="2:10">
      <c r="B10" s="1293" t="s">
        <v>19</v>
      </c>
      <c r="C10" s="1292"/>
      <c r="D10" s="1292"/>
      <c r="E10" s="1292"/>
      <c r="F10" s="1292"/>
      <c r="G10" s="1292"/>
      <c r="H10" s="1292"/>
      <c r="I10" s="1"/>
      <c r="J10" s="2"/>
    </row>
    <row r="11" spans="2:10">
      <c r="J11" s="2"/>
    </row>
    <row r="12" spans="2:10">
      <c r="C12" s="2" t="s">
        <v>20</v>
      </c>
      <c r="J12" s="2"/>
    </row>
    <row r="13" spans="2:10">
      <c r="J13" s="2"/>
    </row>
    <row r="14" spans="2:10">
      <c r="B14" s="2" t="s">
        <v>24</v>
      </c>
      <c r="J14" s="2"/>
    </row>
    <row r="15" spans="2:10">
      <c r="J15" s="2"/>
    </row>
    <row r="16" spans="2:10">
      <c r="C16" s="1291" t="s">
        <v>21</v>
      </c>
      <c r="D16" s="1294"/>
      <c r="E16" s="1294"/>
      <c r="F16" s="1294"/>
      <c r="G16" s="1294"/>
      <c r="H16" s="1294"/>
      <c r="I16" s="1294"/>
      <c r="J16" s="2"/>
    </row>
    <row r="17" spans="2:10">
      <c r="J17" s="2"/>
    </row>
    <row r="18" spans="2:10">
      <c r="B18" s="6" t="s">
        <v>2</v>
      </c>
      <c r="C18" s="9" t="s">
        <v>3</v>
      </c>
      <c r="D18" s="9" t="s">
        <v>1</v>
      </c>
      <c r="E18" s="5">
        <v>0</v>
      </c>
      <c r="F18" s="17" t="s">
        <v>4</v>
      </c>
      <c r="G18" s="9" t="s">
        <v>5</v>
      </c>
      <c r="H18" s="9" t="s">
        <v>1</v>
      </c>
      <c r="I18" s="5">
        <f>E20*100/15</f>
        <v>12080000</v>
      </c>
      <c r="J18" s="2"/>
    </row>
    <row r="19" spans="2:10">
      <c r="B19" s="6" t="s">
        <v>2</v>
      </c>
      <c r="C19" s="9" t="s">
        <v>6</v>
      </c>
      <c r="D19" s="9" t="s">
        <v>1</v>
      </c>
      <c r="E19" s="5">
        <f>E21-E18-E20</f>
        <v>10268000</v>
      </c>
      <c r="F19" s="17" t="s">
        <v>4</v>
      </c>
      <c r="G19" s="9" t="s">
        <v>7</v>
      </c>
      <c r="H19" s="9" t="s">
        <v>1</v>
      </c>
      <c r="I19" s="5">
        <v>0</v>
      </c>
      <c r="J19" s="2"/>
    </row>
    <row r="20" spans="2:10">
      <c r="B20" s="6" t="s">
        <v>2</v>
      </c>
      <c r="C20" s="9" t="s">
        <v>8</v>
      </c>
      <c r="D20" s="9" t="s">
        <v>1</v>
      </c>
      <c r="E20" s="3">
        <f>I25</f>
        <v>1812000</v>
      </c>
      <c r="F20" s="9"/>
      <c r="G20" s="9"/>
      <c r="H20" s="9"/>
      <c r="I20" s="18"/>
      <c r="J20" s="2"/>
    </row>
    <row r="21" spans="2:10" ht="13.5" thickBot="1">
      <c r="B21" s="6"/>
      <c r="C21" s="9"/>
      <c r="D21" s="9"/>
      <c r="E21" s="16">
        <f>I21</f>
        <v>12080000</v>
      </c>
      <c r="F21" s="9"/>
      <c r="G21" s="9"/>
      <c r="H21" s="9"/>
      <c r="I21" s="19">
        <f>SUM(I18:I20)</f>
        <v>12080000</v>
      </c>
      <c r="J21" s="2"/>
    </row>
    <row r="22" spans="2:10" ht="13.5" thickTop="1">
      <c r="B22" s="6"/>
      <c r="C22" s="9"/>
      <c r="D22" s="9"/>
      <c r="E22" s="5"/>
      <c r="F22" s="9"/>
      <c r="G22" s="9"/>
      <c r="H22" s="9"/>
      <c r="I22" s="9"/>
      <c r="J22" s="2"/>
    </row>
    <row r="23" spans="2:10">
      <c r="B23" s="6"/>
      <c r="C23" s="1289" t="s">
        <v>22</v>
      </c>
      <c r="D23" s="1290"/>
      <c r="E23" s="1290"/>
      <c r="F23" s="1290"/>
      <c r="G23" s="1290"/>
      <c r="H23" s="1290"/>
      <c r="I23" s="1290"/>
      <c r="J23" s="2"/>
    </row>
    <row r="24" spans="2:10">
      <c r="B24" s="6"/>
      <c r="C24" s="9"/>
      <c r="D24" s="9"/>
      <c r="E24" s="5"/>
      <c r="F24" s="17"/>
      <c r="G24" s="9"/>
      <c r="H24" s="9"/>
      <c r="I24" s="5"/>
      <c r="J24" s="2"/>
    </row>
    <row r="25" spans="2:10">
      <c r="B25" s="6" t="s">
        <v>2</v>
      </c>
      <c r="C25" s="9" t="s">
        <v>9</v>
      </c>
      <c r="D25" s="9" t="s">
        <v>1</v>
      </c>
      <c r="E25" s="5">
        <f>E26/2</f>
        <v>604000</v>
      </c>
      <c r="F25" s="17" t="s">
        <v>4</v>
      </c>
      <c r="G25" s="9" t="s">
        <v>10</v>
      </c>
      <c r="H25" s="9" t="s">
        <v>1</v>
      </c>
      <c r="I25" s="5">
        <f>E25*3</f>
        <v>1812000</v>
      </c>
      <c r="J25" s="2"/>
    </row>
    <row r="26" spans="2:10">
      <c r="B26" s="6" t="s">
        <v>2</v>
      </c>
      <c r="C26" s="9" t="s">
        <v>25</v>
      </c>
      <c r="D26" s="9" t="s">
        <v>1</v>
      </c>
      <c r="E26" s="4">
        <v>1208000</v>
      </c>
      <c r="F26" s="17"/>
      <c r="G26" s="9"/>
      <c r="H26" s="9"/>
      <c r="I26" s="5"/>
      <c r="J26" s="2"/>
    </row>
    <row r="27" spans="2:10">
      <c r="B27" s="6"/>
      <c r="C27" s="9"/>
      <c r="D27" s="9"/>
      <c r="E27" s="4"/>
      <c r="F27" s="9"/>
      <c r="G27" s="9"/>
      <c r="H27" s="9"/>
      <c r="I27" s="9"/>
      <c r="J27" s="2"/>
    </row>
    <row r="28" spans="2:10">
      <c r="B28" s="6"/>
      <c r="C28" s="9"/>
      <c r="D28" s="9"/>
      <c r="E28" s="4"/>
      <c r="F28" s="9"/>
      <c r="G28" s="9"/>
      <c r="H28" s="9"/>
      <c r="I28" s="9"/>
      <c r="J28" s="2"/>
    </row>
    <row r="29" spans="2:10" ht="13.5" thickBot="1">
      <c r="B29" s="6"/>
      <c r="C29" s="9"/>
      <c r="D29" s="9"/>
      <c r="E29" s="19">
        <f>E25+E26</f>
        <v>1812000</v>
      </c>
      <c r="F29" s="9"/>
      <c r="G29" s="5"/>
      <c r="H29" s="9"/>
      <c r="I29" s="16">
        <f>E29</f>
        <v>1812000</v>
      </c>
      <c r="J29" s="2"/>
    </row>
    <row r="30" spans="2:10" ht="13.5" thickTop="1">
      <c r="B30" s="6"/>
      <c r="E30" s="7"/>
      <c r="G30" s="8"/>
      <c r="I30" s="13"/>
      <c r="J30" s="2"/>
    </row>
    <row r="31" spans="2:10">
      <c r="B31" s="6"/>
      <c r="E31" s="7"/>
      <c r="G31" s="8"/>
      <c r="I31" s="13"/>
      <c r="J31" s="2"/>
    </row>
    <row r="32" spans="2:10">
      <c r="B32" s="1291" t="s">
        <v>23</v>
      </c>
      <c r="C32" s="1291"/>
      <c r="D32" s="1291"/>
      <c r="E32" s="1291"/>
      <c r="F32" s="1291"/>
      <c r="G32" s="1291"/>
      <c r="H32" s="1291"/>
      <c r="I32" s="1291"/>
      <c r="J32" s="2"/>
    </row>
    <row r="33" spans="2:10">
      <c r="B33" s="6"/>
      <c r="C33" s="14" t="s">
        <v>11</v>
      </c>
      <c r="G33" s="14" t="s">
        <v>12</v>
      </c>
      <c r="J33" s="2"/>
    </row>
    <row r="34" spans="2:10">
      <c r="B34" s="6"/>
      <c r="C34" t="s">
        <v>13</v>
      </c>
      <c r="D34" t="s">
        <v>1</v>
      </c>
      <c r="E34" s="10">
        <v>158500</v>
      </c>
      <c r="G34" t="s">
        <v>14</v>
      </c>
      <c r="H34" t="s">
        <v>1</v>
      </c>
      <c r="I34" s="10">
        <v>0</v>
      </c>
      <c r="J34" s="2"/>
    </row>
    <row r="35" spans="2:10" ht="13.5" thickBot="1">
      <c r="B35" s="6"/>
      <c r="C35" t="s">
        <v>15</v>
      </c>
      <c r="D35" t="s">
        <v>1</v>
      </c>
      <c r="E35" s="15">
        <f>E26</f>
        <v>1208000</v>
      </c>
      <c r="G35" t="s">
        <v>16</v>
      </c>
      <c r="H35" t="s">
        <v>1</v>
      </c>
      <c r="I35" s="10">
        <v>10000</v>
      </c>
      <c r="J35" s="2"/>
    </row>
    <row r="36" spans="2:10">
      <c r="B36" s="6"/>
      <c r="E36" s="13">
        <f>SUM(E34:E35)</f>
        <v>1366500</v>
      </c>
      <c r="G36" t="s">
        <v>17</v>
      </c>
      <c r="H36" t="s">
        <v>0</v>
      </c>
      <c r="I36" s="7">
        <f>+I38-I34-I35</f>
        <v>481500</v>
      </c>
      <c r="J36" s="2"/>
    </row>
    <row r="37" spans="2:10">
      <c r="B37" s="6"/>
      <c r="C37" t="s">
        <v>18</v>
      </c>
      <c r="D37" t="s">
        <v>1</v>
      </c>
      <c r="E37" s="10">
        <v>875000</v>
      </c>
      <c r="I37" s="10"/>
      <c r="J37" s="2"/>
    </row>
    <row r="38" spans="2:10" ht="13.5" thickBot="1">
      <c r="B38" s="6"/>
      <c r="E38" s="12">
        <f>E36-E37</f>
        <v>491500</v>
      </c>
      <c r="I38" s="11">
        <f>E38</f>
        <v>491500</v>
      </c>
      <c r="J38" s="2"/>
    </row>
    <row r="39" spans="2:10" ht="13.5" thickTop="1">
      <c r="B39" s="6"/>
      <c r="E39" s="13"/>
      <c r="I39" s="13"/>
      <c r="J39" s="2"/>
    </row>
    <row r="40" spans="2:10">
      <c r="B40" s="6"/>
      <c r="E40" s="7"/>
      <c r="I40" s="13"/>
      <c r="J40" s="2"/>
    </row>
  </sheetData>
  <mergeCells count="8">
    <mergeCell ref="C23:I23"/>
    <mergeCell ref="B32:I32"/>
    <mergeCell ref="B6:G6"/>
    <mergeCell ref="B7:I7"/>
    <mergeCell ref="B8:G8"/>
    <mergeCell ref="B9:G9"/>
    <mergeCell ref="B10:H10"/>
    <mergeCell ref="C16:I16"/>
  </mergeCells>
  <phoneticPr fontId="7" type="noConversion"/>
  <pageMargins left="0.7" right="0.7" top="0.75" bottom="0.75" header="0.3" footer="0.3"/>
  <pageSetup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 Input</vt:lpstr>
      <vt:lpstr>Sheet of Calculation</vt:lpstr>
      <vt:lpstr>Return Process</vt:lpstr>
      <vt:lpstr>I.T.-30</vt:lpstr>
      <vt:lpstr>I.T.-15</vt:lpstr>
      <vt:lpstr>183(3),179 Notices</vt:lpstr>
      <vt:lpstr>172,280 Notices</vt:lpstr>
      <vt:lpstr>Min Tax</vt:lpstr>
      <vt:lpstr>212 Notice</vt:lpstr>
      <vt:lpstr>MisC Cal-1</vt:lpstr>
      <vt:lpstr>MisC Cal-2</vt:lpstr>
      <vt:lpstr>MisC Intrst-3</vt:lpstr>
      <vt:lpstr>Balance sheet</vt:lpstr>
      <vt:lpstr>'172,280 Notices'!_Hlk142582612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cp:lastPrinted>2025-10-22T19:57:19Z</cp:lastPrinted>
  <dcterms:created xsi:type="dcterms:W3CDTF">1996-10-14T23:33:28Z</dcterms:created>
  <dcterms:modified xsi:type="dcterms:W3CDTF">2025-10-23T07:59:07Z</dcterms:modified>
</cp:coreProperties>
</file>